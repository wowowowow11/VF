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80"/>
  </bookViews>
  <sheets>
    <sheet name="VF6NP_Coding CD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<sst xmlns="http://schemas.openxmlformats.org/spreadsheetml/2006/main" count="897" uniqueCount="128">
  <si>
    <t>VF6NP RHD</t>
  </si>
  <si>
    <t>VF6NP LHD</t>
  </si>
  <si>
    <t>DID Number (hex)</t>
  </si>
  <si>
    <t>DID Name</t>
  </si>
  <si>
    <t>RWState</t>
  </si>
  <si>
    <t>Parameter</t>
  </si>
  <si>
    <t>BytePos (from 0)</t>
  </si>
  <si>
    <t>BitPos</t>
  </si>
  <si>
    <t>BitLength</t>
  </si>
  <si>
    <t>DataType</t>
  </si>
  <si>
    <t>MethodType</t>
  </si>
  <si>
    <t>Default value for HW1
(INDIA-TOP)</t>
  </si>
  <si>
    <t>Default value for HW2
 VN  (ECO)</t>
  </si>
  <si>
    <t>INDO (ECO)</t>
  </si>
  <si>
    <t>INDO (PLUS)</t>
  </si>
  <si>
    <t>INDIA (BASE)</t>
  </si>
  <si>
    <t>INDIA (MID A1)</t>
  </si>
  <si>
    <t>INDIA (MID B1)</t>
  </si>
  <si>
    <t>INDIA (TOP)</t>
  </si>
  <si>
    <t xml:space="preserve">PHL (ECO) </t>
  </si>
  <si>
    <t>PHL (PLUS)</t>
  </si>
  <si>
    <t xml:space="preserve"> VN  (ECO)</t>
  </si>
  <si>
    <t xml:space="preserve"> VN (PLUS)</t>
  </si>
  <si>
    <t xml:space="preserve"> VN (ULTRA)</t>
  </si>
  <si>
    <t>EU</t>
  </si>
  <si>
    <t>ACU Action</t>
  </si>
  <si>
    <t>Comment</t>
  </si>
  <si>
    <t>0xF108</t>
  </si>
  <si>
    <t>Coding Data String CDS</t>
  </si>
  <si>
    <t>R/W</t>
  </si>
  <si>
    <t>Format Byte</t>
  </si>
  <si>
    <t>MSB/LSB BITPATTERN</t>
  </si>
  <si>
    <t>type=identical</t>
  </si>
  <si>
    <t>Short VIN</t>
  </si>
  <si>
    <t>ASCII</t>
  </si>
  <si>
    <t>Vehicle Name</t>
  </si>
  <si>
    <t>type=texttable
0x0=Unsupported
0x1=VF6NP
0x2=VF7NP
0x3=VF8NP
0x4=VF9NP
0x5=VF3
0x6=VF5NP
0x7=VF Wild
0x8= LH800
0x9= LH900
0xA = Reserved
0xF=Invalid</t>
  </si>
  <si>
    <t>0x1: VF6NP</t>
  </si>
  <si>
    <t>Market</t>
  </si>
  <si>
    <t>type=texttable
0x0= NA
0x1= Vietnam
0x2= ASEAN
0x3= Russia
0x4= USA
0x5= Europe
0x6= ASIA
0x7= The Gulf Cooperation Council countries
0x8= Israel
0x9= United_Kingdom
0xA= Australia
0xB= Thailand
0xC= Singapore
0xD= Indonesia
0xE= Malaysia
0xF= Lao
0x10= Cambodia
0x11= India
0x12= Commonwealth of Independent States_CIS
0x13= Middle East
0x14= Africa
0xFF= Invalid</t>
  </si>
  <si>
    <t>0x11= India</t>
  </si>
  <si>
    <t>0x1= Vietnam</t>
  </si>
  <si>
    <t>0xD= Indonesia</t>
  </si>
  <si>
    <t>0x2= ASEAN</t>
  </si>
  <si>
    <t>0x5= Europe</t>
  </si>
  <si>
    <t>Vehicle variant</t>
  </si>
  <si>
    <t>type=texttable
0x0=Unsupported
0x1= COMFORT
0x2= PREMIUM
0x3= EARTH
0x4= WIND
0x5=  SKY
0x6= ECO
0x7= PLUS
0x8= BASE
0x9= ULTRA
0xA= MID A1
0xB=  MID B1
0xC=  TOP
0xD~0xFE: Reserved
0xFF=Invalid</t>
  </si>
  <si>
    <t>0xC=  TOP</t>
  </si>
  <si>
    <t>0x6= ECO</t>
  </si>
  <si>
    <t>0x7= PLUS</t>
  </si>
  <si>
    <t>0x8= BASE</t>
  </si>
  <si>
    <t>0xA = MID A1</t>
  </si>
  <si>
    <t>0xB = MID B1</t>
  </si>
  <si>
    <t>0x9 = ULTRA</t>
  </si>
  <si>
    <t>Steering Wheel Position</t>
  </si>
  <si>
    <t>type=texttable
0x0=Unsupported
0x1=Left hand drive (LHD)
0x2=Right hand drive (RHD)
0xF=Invalid</t>
  </si>
  <si>
    <t>0x02: RHD</t>
  </si>
  <si>
    <t>0x01: LHD</t>
  </si>
  <si>
    <r>
      <rPr>
        <sz val="11"/>
        <rFont val="Arial"/>
        <charset val="134"/>
      </rPr>
      <t xml:space="preserve">Door pressure sensor </t>
    </r>
    <r>
      <rPr>
        <sz val="11"/>
        <color rgb="FFFF0000"/>
        <rFont val="Arial"/>
        <charset val="134"/>
      </rPr>
      <t>(Driver side &amp; Passenger side)</t>
    </r>
  </si>
  <si>
    <t>type=texttable
0x0: Unsupported
0x1: Supported
0x2~0x3: Reserved</t>
  </si>
  <si>
    <t>0x1: Supported</t>
  </si>
  <si>
    <t>0x0: Unsupported</t>
  </si>
  <si>
    <r>
      <rPr>
        <sz val="11"/>
        <rFont val="Arial"/>
        <charset val="134"/>
      </rPr>
      <t xml:space="preserve">Side impact sensor </t>
    </r>
    <r>
      <rPr>
        <sz val="11"/>
        <color rgb="FFFF0000"/>
        <rFont val="Arial"/>
        <charset val="134"/>
      </rPr>
      <t>(Driver side &amp; Passenger side)</t>
    </r>
  </si>
  <si>
    <t>Driver airbag</t>
  </si>
  <si>
    <t>type=texttable
0x0: Unsupported
0x1: Single stage
0x2: Dual stage
0x3: Dual stage with active vent
0x4~0x7: Reserved</t>
  </si>
  <si>
    <t>0x1: Single stage</t>
  </si>
  <si>
    <t>0x2: Dual stage</t>
  </si>
  <si>
    <t>Configure the ignition function and fault detection function</t>
  </si>
  <si>
    <t>Passenger airbag</t>
  </si>
  <si>
    <t>Driver knee airbag</t>
  </si>
  <si>
    <t>type=texttable
0x0: Unsupported
0x1: Single stage
0x2~0x7: Reserved</t>
  </si>
  <si>
    <t>Passenger knee airbag</t>
  </si>
  <si>
    <r>
      <rPr>
        <sz val="11"/>
        <rFont val="Arial"/>
        <charset val="134"/>
      </rPr>
      <t xml:space="preserve">Side airbag front </t>
    </r>
    <r>
      <rPr>
        <sz val="11"/>
        <color rgb="FFFF0000"/>
        <rFont val="Arial"/>
        <charset val="134"/>
      </rPr>
      <t xml:space="preserve">Driver </t>
    </r>
  </si>
  <si>
    <r>
      <rPr>
        <sz val="11"/>
        <rFont val="Arial"/>
        <charset val="134"/>
      </rPr>
      <t>Side airbag front</t>
    </r>
    <r>
      <rPr>
        <sz val="11"/>
        <color rgb="FFFF0000"/>
        <rFont val="Arial"/>
        <charset val="134"/>
      </rPr>
      <t xml:space="preserve"> Passenger </t>
    </r>
  </si>
  <si>
    <r>
      <rPr>
        <sz val="11"/>
        <rFont val="Arial"/>
        <charset val="134"/>
      </rPr>
      <t>Side airbag rear</t>
    </r>
    <r>
      <rPr>
        <sz val="11"/>
        <color rgb="FFFF0000"/>
        <rFont val="Arial"/>
        <charset val="134"/>
      </rPr>
      <t xml:space="preserve"> Driver</t>
    </r>
  </si>
  <si>
    <r>
      <rPr>
        <sz val="11"/>
        <rFont val="Arial"/>
        <charset val="134"/>
      </rPr>
      <t>Side airbag rear</t>
    </r>
    <r>
      <rPr>
        <sz val="11"/>
        <color rgb="FFFF0000"/>
        <rFont val="Arial"/>
        <charset val="134"/>
      </rPr>
      <t xml:space="preserve"> Passenger</t>
    </r>
  </si>
  <si>
    <r>
      <rPr>
        <sz val="11"/>
        <rFont val="Arial"/>
        <charset val="134"/>
      </rPr>
      <t>Curtain airbag</t>
    </r>
    <r>
      <rPr>
        <sz val="11"/>
        <color rgb="FFFF0000"/>
        <rFont val="Arial"/>
        <charset val="134"/>
      </rPr>
      <t xml:space="preserve"> Driver</t>
    </r>
  </si>
  <si>
    <r>
      <rPr>
        <sz val="11"/>
        <rFont val="Arial"/>
        <charset val="134"/>
      </rPr>
      <t xml:space="preserve">Curtain airbag </t>
    </r>
    <r>
      <rPr>
        <sz val="11"/>
        <color rgb="FFFF0000"/>
        <rFont val="Arial"/>
        <charset val="134"/>
      </rPr>
      <t>Passenger</t>
    </r>
  </si>
  <si>
    <t>Center airbag</t>
  </si>
  <si>
    <t>Retracter pretensioner driver</t>
  </si>
  <si>
    <t>type=texttable
0x0: Unsupported
0x1: Single stage
0x2: Dual stage
0x3~0x7: Reserved</t>
  </si>
  <si>
    <t>Retracter pretensioner passenger</t>
  </si>
  <si>
    <t>Retracter pretensioner 2nd row driver</t>
  </si>
  <si>
    <t>Retracter pretensioner 2nd row middle</t>
  </si>
  <si>
    <t>Retracter pretensioner 2nd row passenger</t>
  </si>
  <si>
    <t>Retracter anchor pretensioner driver</t>
  </si>
  <si>
    <t>Retracter anchor pretensioner passenger</t>
  </si>
  <si>
    <t>HV Pyrofuse cutoff</t>
  </si>
  <si>
    <t>type=texttable
0x0: Unsupported
0x1: Supported
0x2~0x7: Reserved</t>
  </si>
  <si>
    <t>Fuel Pyrofuse cutoff</t>
  </si>
  <si>
    <t>Occupant Detection System driver</t>
  </si>
  <si>
    <t>Configure detection function</t>
  </si>
  <si>
    <t>Occupant Detection System passenger</t>
  </si>
  <si>
    <t>ODS type is diagnostic type</t>
  </si>
  <si>
    <t>Occupant Detection System 2nd row driver</t>
  </si>
  <si>
    <t>Occupant Detection System 2nd row middle</t>
  </si>
  <si>
    <t>Occupant Detection System 2nd row passenger</t>
  </si>
  <si>
    <t>Occupant Classification System driver</t>
  </si>
  <si>
    <t>Occupant Classification System passenger</t>
  </si>
  <si>
    <t>Occupant Classification System 2nd row driver</t>
  </si>
  <si>
    <t>Occupant Classification System 2nd row middle</t>
  </si>
  <si>
    <t>Occupant Classification System 2nd row passenger</t>
  </si>
  <si>
    <t>Buckle sensor driver</t>
  </si>
  <si>
    <t>mechanical switch</t>
  </si>
  <si>
    <t>Buckle sensor passenger</t>
  </si>
  <si>
    <t>Buckle sensor 2nd row driver</t>
  </si>
  <si>
    <t>Buckle sensor 2nd row middle</t>
  </si>
  <si>
    <t>Buckle sensor 2nd row passenger</t>
  </si>
  <si>
    <t>Seat belt reminder</t>
  </si>
  <si>
    <t xml:space="preserve">Reserved </t>
  </si>
  <si>
    <t>Advanced Driver Assistance System (ADAS)
(including all CAN signal and DTC related to ADAS, FCAM)</t>
  </si>
  <si>
    <t>0x0:Unsupported</t>
  </si>
  <si>
    <t xml:space="preserve">
Software implementation</t>
  </si>
  <si>
    <t>Seat Track Position System</t>
  </si>
  <si>
    <t>type=texttable
0x0: Unsupported 
0x1: Supported both Driver and Passenger
0x2:  Supported Driver only
0x3: Supported Passenger only
0x4~0x7: Reserved</t>
  </si>
  <si>
    <t xml:space="preserve">PAB suppression feature </t>
  </si>
  <si>
    <t>type=texttable
0x0: Unsupported 
0x1: Automatic suppress  with OCS CAN signal input
0x2: Automatic suppress  with OMS CAN signal input
0x3: Manual Suppression with MHU CAN signal  input
0x4~0x7: Reserved</t>
  </si>
  <si>
    <t>0x1: Automatic suppress  with OCS CAN signal input</t>
  </si>
  <si>
    <t>0x3: Manual Suppression with MHU CAN signal  input</t>
  </si>
  <si>
    <t xml:space="preserve">0x1: Automatic suppress  with OCS CAN signal input
</t>
  </si>
  <si>
    <t>EDS rear 
(Including CAN message and DTC)</t>
  </si>
  <si>
    <t>36 ~47</t>
  </si>
  <si>
    <t>n</t>
  </si>
  <si>
    <t>CRC</t>
  </si>
  <si>
    <t>type=texttable
the CRC algorithm: SAE-J1850
CRC bytes from 12 to 47</t>
  </si>
  <si>
    <t>CRC Checksum CRC32</t>
  </si>
  <si>
    <t>Number of Airbags:</t>
  </si>
  <si>
    <t>Number of firing loops: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</si>
</sst>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[Red]&quot;-&quot;#,##0"/>
    <numFmt numFmtId="177" formatCode="0.0%"/>
    <numFmt numFmtId="178" formatCode="_ &quot;₩&quot;* #,##0_ ;_ &quot;₩&quot;* \-#,##0_ ;_ &quot;₩&quot;* &quot;-&quot;_ ;_ @_ "/>
    <numFmt numFmtId="179" formatCode="&quot;$&quot;#,##0.00_);[Red]\(&quot;$&quot;#,##0.00\)"/>
    <numFmt numFmtId="180" formatCode="_-* #,##0.00_-;\-* #,##0.00_-;_-* &quot;-&quot;??_-;_-@_-"/>
    <numFmt numFmtId="181" formatCode="#,##0.00_ ;[Red]\-#,##0.00;\-"/>
    <numFmt numFmtId="182" formatCode=".00"/>
    <numFmt numFmtId="183" formatCode="#,##0&quot;%&quot;"/>
    <numFmt numFmtId="184" formatCode="&quot;₩&quot;#,##0.00;[Red]&quot;₩&quot;\-#,##0.00"/>
    <numFmt numFmtId="185" formatCode="#,##0.0&quot;%&quot;"/>
    <numFmt numFmtId="186" formatCode="&quot;?#,##0;\-&quot;&quot;?&quot;#,##0"/>
    <numFmt numFmtId="187" formatCode=";;"/>
    <numFmt numFmtId="188" formatCode="_ * #,##0.00_ ;_ * &quot;₩&quot;&quot;₩&quot;&quot;₩&quot;&quot;₩&quot;&quot;₩&quot;&quot;₩&quot;&quot;₩&quot;&quot;₩&quot;&quot;₩&quot;&quot;₩&quot;\-#,##0.00_ ;_ * &quot;-&quot;??_ ;_ @_ "/>
    <numFmt numFmtId="189" formatCode="&quot;(&quot;?0.0&quot;')&quot;"/>
    <numFmt numFmtId="190" formatCode="_ * #,##0_ ;_ * &quot;₩&quot;\-#,##0_ ;_ * &quot;-&quot;_ ;_ @_ "/>
    <numFmt numFmtId="191" formatCode="&quot;₩&quot;#,##0;&quot;₩&quot;&quot;₩&quot;&quot;₩&quot;&quot;₩&quot;&quot;₩&quot;&quot;₩&quot;&quot;₩&quot;&quot;₩&quot;&quot;₩&quot;&quot;₩&quot;&quot;₩&quot;\-#,##0"/>
    <numFmt numFmtId="192" formatCode="yy\.mm\.dd"/>
    <numFmt numFmtId="193" formatCode="_(&quot;$&quot;* #,##0_);_(&quot;$&quot;* \(#,##0\);_(&quot;$&quot;* &quot;-&quot;_);_(@_)"/>
    <numFmt numFmtId="194" formatCode="&quot;$&quot;#,##0_);[Red]\(&quot;$&quot;#,##0\)"/>
    <numFmt numFmtId="195" formatCode="0E+00"/>
    <numFmt numFmtId="196" formatCode="&quot;kr&quot;\ #,##0;[Red]&quot;kr&quot;\ \-#,##0"/>
    <numFmt numFmtId="197" formatCode="0.00000000000"/>
    <numFmt numFmtId="198" formatCode="_ &quot;₩&quot;* #,##0.00_ ;_ &quot;₩&quot;* \-#,##0.00_ ;_ &quot;₩&quot;* &quot;-&quot;??_ ;_ @_ "/>
    <numFmt numFmtId="199" formatCode="_(&quot;$&quot;* #,##0.00_);_(&quot;$&quot;* \(#,##0.00\);_(&quot;$&quot;* &quot;-&quot;??_);_(@_)"/>
    <numFmt numFmtId="200" formatCode="&quot;₩&quot;#,##0;[Red]&quot;₩&quot;\-#,##0"/>
    <numFmt numFmtId="201" formatCode="0.000000000000"/>
    <numFmt numFmtId="202" formatCode="_-* #,##0_-;\-* #,##0_-;_-* &quot;-&quot;_-;_-@_-"/>
    <numFmt numFmtId="203" formatCode="#\ &quot;H&quot;\ "/>
    <numFmt numFmtId="204" formatCode="\$#,##0;\(\$#,##0\)"/>
    <numFmt numFmtId="205" formatCode="0.0"/>
    <numFmt numFmtId="206" formatCode="#,##0.00;[Red]&quot;-&quot;#,##0.00"/>
    <numFmt numFmtId="207" formatCode="yy/m/d"/>
    <numFmt numFmtId="208" formatCode="0.0&quot;'&quot;"/>
    <numFmt numFmtId="209" formatCode="#,##0.0000_)"/>
    <numFmt numFmtId="210" formatCode="0.000_)"/>
    <numFmt numFmtId="211" formatCode="000"/>
    <numFmt numFmtId="212" formatCode="&quot;₩&quot;#,##0;&quot;₩&quot;&quot;₩&quot;&quot;₩&quot;&quot;₩&quot;\!\-#,##0"/>
    <numFmt numFmtId="213" formatCode="\$#,##0.00;[Red]\-\$#,##0.00"/>
    <numFmt numFmtId="214" formatCode="0.0000%"/>
    <numFmt numFmtId="215" formatCode="\$\ #,##0;\-\$\ #,##0"/>
    <numFmt numFmtId="216" formatCode="#,##0.00;[Red]\(#,##0.00\)"/>
    <numFmt numFmtId="217" formatCode="_([$€]* #,##0.00_);_([$€]* \(#,##0.00\);_([$€]* &quot;-&quot;??_);_(@_)"/>
    <numFmt numFmtId="218" formatCode="_-* #,##0\ _D_M_-;\-* #,##0\ _D_M_-;_-* &quot;-&quot;\ _D_M_-;_-@_-"/>
    <numFmt numFmtId="219" formatCode="_-* #,##0.00\ _D_M_-;\-* #,##0.00\ _D_M_-;_-* &quot;-&quot;??\ _D_M_-;_-@_-"/>
    <numFmt numFmtId="220" formatCode="#,##0.0000000"/>
    <numFmt numFmtId="221" formatCode="0.0_)"/>
    <numFmt numFmtId="222" formatCode="#,##0.0_);\(#,##0.0\)"/>
    <numFmt numFmtId="223" formatCode="_-&quot;Kc&quot;* #,##0.00_-;\-&quot;Kc&quot;* #,##0.00_-;_-&quot;Kc&quot;* &quot;-&quot;??_-;_-@_-"/>
    <numFmt numFmtId="224" formatCode="&quot;DM&quot;#,##0;[Red]\-&quot;DM&quot;#,##0"/>
    <numFmt numFmtId="225" formatCode="&quot;DM&quot;#,##0.00;[Red]\-&quot;DM&quot;#,##0.00"/>
    <numFmt numFmtId="226" formatCode="#,##0\ &quot;F&quot;;[Red]\-#,##0\ &quot;F&quot;"/>
    <numFmt numFmtId="227" formatCode="#,##0.00\ &quot;F&quot;;[Red]\-#,##0.00\ &quot;F&quot;"/>
    <numFmt numFmtId="228" formatCode="#,##0&quot; F&quot;_);[Red]\(#,##0&quot; F&quot;\)"/>
    <numFmt numFmtId="229" formatCode="#,##0.00;\(#,##0.00\);\-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#,##0;[Red]\(#,##0\)"/>
    <numFmt numFmtId="233" formatCode="\A&quot;$&quot;#,##0_);\(&quot;$&quot;#,##0\)"/>
    <numFmt numFmtId="234" formatCode="\ @"/>
    <numFmt numFmtId="235" formatCode="#,##0.0"/>
    <numFmt numFmtId="236" formatCode="##,##0.00_);\(#,##0.00\)"/>
    <numFmt numFmtId="237" formatCode="#,##0.000000"/>
    <numFmt numFmtId="238" formatCode="&quot;₩&quot;#,##0"/>
    <numFmt numFmtId="239" formatCode="#."/>
    <numFmt numFmtId="240" formatCode="&quot;₩&quot;#,##0.00;&quot;₩&quot;\-#,##0.00"/>
    <numFmt numFmtId="241" formatCode="#,##0.0;\-#,##0.0"/>
    <numFmt numFmtId="242" formatCode="d"/>
    <numFmt numFmtId="243" formatCode="#,##0;[Red]&quot;△&quot;#,##0"/>
    <numFmt numFmtId="244" formatCode="0;[Red]0"/>
    <numFmt numFmtId="245" formatCode="&quot;₩&quot;#,##0;&quot;₩&quot;\-#,##0"/>
    <numFmt numFmtId="246" formatCode="_-&quot;$&quot;* #,##0_-;\-&quot;$&quot;* #,##0_-;_-&quot;$&quot;* &quot;-&quot;_-;_-@_-"/>
    <numFmt numFmtId="247" formatCode="_-&quot;$&quot;* #,##0.00_-;\-&quot;$&quot;* #,##0.00_-;_-&quot;$&quot;* &quot;-&quot;??_-;_-@_-"/>
  </numFmts>
  <fonts count="194">
    <font>
      <sz val="11"/>
      <color theme="1"/>
      <name val="等线"/>
      <charset val="129"/>
      <scheme val="minor"/>
    </font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b/>
      <sz val="14"/>
      <color theme="1"/>
      <name val="等线"/>
      <charset val="134"/>
      <scheme val="minor"/>
    </font>
    <font>
      <b/>
      <sz val="1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sz val="11"/>
      <color indexed="8"/>
      <name val="Arial"/>
      <charset val="134"/>
    </font>
    <font>
      <sz val="11"/>
      <color rgb="FFFF0000"/>
      <name val="Arial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바탕체"/>
      <charset val="129"/>
    </font>
    <font>
      <sz val="10"/>
      <name val="Arial"/>
      <charset val="134"/>
    </font>
    <font>
      <sz val="12"/>
      <name val="바탕체"/>
      <charset val="129"/>
    </font>
    <font>
      <sz val="12"/>
      <name val="돋움체"/>
      <charset val="129"/>
    </font>
    <font>
      <sz val="12"/>
      <name val="¹UAAA¼"/>
      <charset val="129"/>
    </font>
    <font>
      <sz val="10"/>
      <name val="MS Sans Serif"/>
      <charset val="134"/>
    </font>
    <font>
      <sz val="12"/>
      <name val="???"/>
      <charset val="134"/>
    </font>
    <font>
      <sz val="12"/>
      <name val="바탕체"/>
      <charset val="134"/>
    </font>
    <font>
      <sz val="11"/>
      <name val="돋움"/>
      <charset val="129"/>
    </font>
    <font>
      <sz val="14"/>
      <name val="??"/>
      <charset val="134"/>
    </font>
    <font>
      <sz val="12"/>
      <name val="¹????¼"/>
      <charset val="129"/>
    </font>
    <font>
      <sz val="11"/>
      <name val="??"/>
      <charset val="134"/>
    </font>
    <font>
      <sz val="12"/>
      <name val="Arial"/>
      <charset val="134"/>
    </font>
    <font>
      <sz val="11"/>
      <name val="굴림체"/>
      <charset val="129"/>
    </font>
    <font>
      <sz val="10"/>
      <name val="Helv"/>
      <charset val="134"/>
    </font>
    <font>
      <sz val="10"/>
      <name val="돋움체"/>
      <charset val="129"/>
    </font>
    <font>
      <sz val="10"/>
      <color indexed="9"/>
      <name val="Arial"/>
      <charset val="134"/>
    </font>
    <font>
      <i/>
      <sz val="10"/>
      <color indexed="13"/>
      <name val="Arial"/>
      <charset val="134"/>
    </font>
    <font>
      <sz val="10"/>
      <color indexed="13"/>
      <name val="Arial"/>
      <charset val="134"/>
    </font>
    <font>
      <b/>
      <i/>
      <sz val="9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i/>
      <sz val="10"/>
      <name val="Arial"/>
      <charset val="134"/>
    </font>
    <font>
      <sz val="11"/>
      <name val="바탕체"/>
      <charset val="129"/>
    </font>
    <font>
      <sz val="11"/>
      <name val="μ¸¿o"/>
      <charset val="129"/>
    </font>
    <font>
      <sz val="12"/>
      <name val="굴림체"/>
      <charset val="129"/>
    </font>
    <font>
      <sz val="12"/>
      <name val="Times New Roman"/>
      <charset val="134"/>
    </font>
    <font>
      <b/>
      <sz val="18"/>
      <color indexed="24"/>
      <name val="¹UAAA¼"/>
      <charset val="129"/>
    </font>
    <font>
      <b/>
      <sz val="15"/>
      <color indexed="24"/>
      <name val="¹UAAA¼"/>
      <charset val="129"/>
    </font>
    <font>
      <u/>
      <sz val="7.5"/>
      <color indexed="36"/>
      <name val="Arial"/>
      <charset val="134"/>
    </font>
    <font>
      <sz val="14"/>
      <name val="¾©"/>
      <charset val="129"/>
    </font>
    <font>
      <b/>
      <sz val="12"/>
      <name val="돋움체"/>
      <charset val="129"/>
    </font>
    <font>
      <sz val="10"/>
      <name val="굴림체"/>
      <charset val="129"/>
    </font>
    <font>
      <sz val="7"/>
      <name val="바탕체"/>
      <charset val="129"/>
    </font>
    <font>
      <sz val="11"/>
      <color indexed="8"/>
      <name val="맑은 고딕"/>
      <charset val="129"/>
    </font>
    <font>
      <u/>
      <sz val="12"/>
      <name val="바탕체"/>
      <charset val="129"/>
    </font>
    <font>
      <sz val="11"/>
      <color indexed="9"/>
      <name val="맑은 고딕"/>
      <charset val="129"/>
    </font>
    <font>
      <sz val="11"/>
      <name val="¡Ii¡E¡þ¡E?o"/>
      <charset val="129"/>
    </font>
    <font>
      <sz val="12"/>
      <name val="ⓒoUAAA¨u"/>
      <charset val="129"/>
    </font>
    <font>
      <sz val="12"/>
      <name val="©öUAAA¨ù"/>
      <charset val="129"/>
    </font>
    <font>
      <sz val="11"/>
      <name val="￠RIi￠RE￠Rⓒ­￠RE?o"/>
      <charset val="129"/>
    </font>
    <font>
      <sz val="12"/>
      <name val="Helv"/>
      <charset val="134"/>
    </font>
    <font>
      <sz val="11"/>
      <name val="µ¸¿ò"/>
      <charset val="129"/>
    </font>
    <font>
      <sz val="12"/>
      <name val="¹ÙÅÁÃ¼"/>
      <charset val="129"/>
    </font>
    <font>
      <sz val="12"/>
      <name val="¸iA¶"/>
      <charset val="129"/>
    </font>
    <font>
      <sz val="12"/>
      <name val="¸íÁ¶"/>
      <charset val="129"/>
    </font>
    <font>
      <sz val="12"/>
      <name val="μ¸¿oA¼p"/>
      <charset val="129"/>
    </font>
    <font>
      <sz val="12"/>
      <name val="μ¸¿oA¼"/>
      <charset val="129"/>
    </font>
    <font>
      <sz val="12"/>
      <name val="µ¸¿òÃ¼"/>
      <charset val="129"/>
    </font>
    <font>
      <sz val="10"/>
      <name val="μ¸¿oA¼"/>
      <charset val="129"/>
    </font>
    <font>
      <sz val="10"/>
      <name val="µ¸¿òÃ¼"/>
      <charset val="129"/>
    </font>
    <font>
      <sz val="14"/>
      <name val="굴림체"/>
      <charset val="129"/>
    </font>
    <font>
      <sz val="8"/>
      <name val="Times New Roman"/>
      <charset val="134"/>
    </font>
    <font>
      <sz val="12"/>
      <name val="μ¸¿o"/>
      <charset val="129"/>
    </font>
    <font>
      <sz val="12"/>
      <name val="±¼¸²A¼"/>
      <charset val="129"/>
    </font>
    <font>
      <b/>
      <sz val="12"/>
      <name val="Arial MT"/>
      <charset val="134"/>
    </font>
    <font>
      <b/>
      <sz val="16"/>
      <name val="Arial MT"/>
      <charset val="134"/>
    </font>
    <font>
      <sz val="12"/>
      <name val="Tms Rmn"/>
      <charset val="134"/>
    </font>
    <font>
      <sz val="8"/>
      <name val="Helvetica"/>
      <charset val="134"/>
    </font>
    <font>
      <sz val="8"/>
      <color indexed="20"/>
      <name val="Tahoma"/>
      <charset val="134"/>
    </font>
    <font>
      <sz val="12"/>
      <color indexed="32"/>
      <name val="MIN 훈민08체"/>
      <charset val="129"/>
    </font>
    <font>
      <sz val="12"/>
      <name val="¹UAAA¼"/>
      <charset val="134"/>
    </font>
    <font>
      <sz val="14"/>
      <name val="±¼¸²Ã¼"/>
      <charset val="129"/>
    </font>
    <font>
      <sz val="12"/>
      <name val="µ¸¿òÃ¼p"/>
      <charset val="129"/>
    </font>
    <font>
      <sz val="10"/>
      <name val="¹ÙÅÁÃ¼"/>
      <charset val="129"/>
    </font>
    <font>
      <sz val="10"/>
      <name val="¹UAAA¼"/>
      <charset val="129"/>
    </font>
    <font>
      <sz val="10"/>
      <name val="¹UAAA¼"/>
      <charset val="134"/>
    </font>
    <font>
      <sz val="10"/>
      <name val="¹ÙÅÁÃ¼"/>
      <charset val="134"/>
    </font>
    <font>
      <sz val="12"/>
      <name val="¹ÙÅÁÃ¼"/>
      <charset val="134"/>
    </font>
    <font>
      <sz val="10"/>
      <name val="±¼¸²A¼"/>
      <charset val="129"/>
    </font>
    <font>
      <sz val="11"/>
      <name val="µ¸¿ò"/>
      <charset val="134"/>
    </font>
    <font>
      <sz val="10"/>
      <name val="Times New Roman Tur"/>
      <charset val="162"/>
    </font>
    <font>
      <sz val="9"/>
      <name val="±¼¸²Ã¼"/>
      <charset val="129"/>
    </font>
    <font>
      <sz val="9"/>
      <name val="±¼¸²A¼"/>
      <charset val="129"/>
    </font>
    <font>
      <sz val="12"/>
      <name val="±¼¸²Ã¼"/>
      <charset val="129"/>
    </font>
    <font>
      <sz val="12"/>
      <name val="±¼¸²A¼"/>
      <charset val="134"/>
    </font>
    <font>
      <sz val="12"/>
      <name val="±¼¸²Ã¼"/>
      <charset val="134"/>
    </font>
    <font>
      <sz val="8"/>
      <name val="¹UAAA¼"/>
      <charset val="129"/>
    </font>
    <font>
      <sz val="11"/>
      <name val="μ¸¿oA¼"/>
      <charset val="129"/>
    </font>
    <font>
      <sz val="11"/>
      <name val="µ¸¿òÃ¼"/>
      <charset val="129"/>
    </font>
    <font>
      <sz val="11"/>
      <name val="±¼¸²A¼"/>
      <charset val="129"/>
    </font>
    <font>
      <sz val="12"/>
      <name val="¸iA¶"/>
      <charset val="134"/>
    </font>
    <font>
      <sz val="12"/>
      <name val="¸íÁ¶"/>
      <charset val="134"/>
    </font>
    <font>
      <sz val="10"/>
      <name val="Courier"/>
      <charset val="134"/>
    </font>
    <font>
      <b/>
      <sz val="10"/>
      <name val="Helv"/>
      <charset val="134"/>
    </font>
    <font>
      <sz val="12"/>
      <color indexed="17"/>
      <name val="Helvetica"/>
      <charset val="134"/>
    </font>
    <font>
      <i/>
      <sz val="8"/>
      <color indexed="10"/>
      <name val="Tahoma"/>
      <charset val="134"/>
    </font>
    <font>
      <sz val="11"/>
      <name val="Tms Rmn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8"/>
      <color indexed="19"/>
      <name val="Tahoma"/>
      <charset val="134"/>
    </font>
    <font>
      <sz val="10"/>
      <color indexed="17"/>
      <name val="Courier New"/>
      <charset val="134"/>
    </font>
    <font>
      <i/>
      <sz val="8"/>
      <color indexed="11"/>
      <name val="Tahoma"/>
      <charset val="134"/>
    </font>
    <font>
      <u/>
      <sz val="7.5"/>
      <color indexed="12"/>
      <name val="Arial"/>
      <charset val="134"/>
    </font>
    <font>
      <i/>
      <sz val="8"/>
      <color indexed="12"/>
      <name val="Tahoma"/>
      <charset val="134"/>
    </font>
    <font>
      <i/>
      <sz val="8"/>
      <name val="Helvetica"/>
      <charset val="134"/>
    </font>
    <font>
      <b/>
      <sz val="12"/>
      <name val="Helv"/>
      <charset val="134"/>
    </font>
    <font>
      <b/>
      <sz val="12"/>
      <name val="Arial"/>
      <charset val="134"/>
    </font>
    <font>
      <u/>
      <sz val="10"/>
      <color indexed="12"/>
      <name val="MS Sans Serif"/>
      <charset val="134"/>
    </font>
    <font>
      <sz val="8"/>
      <color indexed="8"/>
      <name val="Tahoma"/>
      <charset val="134"/>
    </font>
    <font>
      <b/>
      <sz val="8"/>
      <name val="Helvetica"/>
      <charset val="134"/>
    </font>
    <font>
      <u/>
      <sz val="10"/>
      <color indexed="36"/>
      <name val="MS Sans Serif"/>
      <charset val="134"/>
    </font>
    <font>
      <b/>
      <sz val="8"/>
      <color indexed="8"/>
      <name val="Arial"/>
      <charset val="134"/>
    </font>
    <font>
      <sz val="10"/>
      <name val="Arial CE"/>
      <charset val="238"/>
    </font>
    <font>
      <b/>
      <sz val="11"/>
      <name val="Helv"/>
      <charset val="134"/>
    </font>
    <font>
      <sz val="7"/>
      <name val="Small Fonts"/>
      <charset val="134"/>
    </font>
    <font>
      <sz val="11"/>
      <name val="‚l‚r –¾’©"/>
      <charset val="128"/>
    </font>
    <font>
      <sz val="12"/>
      <name val="Arial MT"/>
      <charset val="134"/>
    </font>
    <font>
      <i/>
      <sz val="8"/>
      <color indexed="23"/>
      <name val="Tahoma"/>
      <charset val="134"/>
    </font>
    <font>
      <sz val="8"/>
      <name val="Tahoma"/>
      <charset val="134"/>
    </font>
    <font>
      <b/>
      <sz val="10"/>
      <name val="MS Sans Serif"/>
      <charset val="134"/>
    </font>
    <font>
      <b/>
      <sz val="12"/>
      <color indexed="8"/>
      <name val="Arial"/>
      <charset val="134"/>
    </font>
    <font>
      <b/>
      <sz val="10"/>
      <color indexed="39"/>
      <name val="Arial"/>
      <charset val="134"/>
    </font>
    <font>
      <sz val="12"/>
      <color indexed="8"/>
      <name val="Arial"/>
      <charset val="134"/>
    </font>
    <font>
      <b/>
      <sz val="10"/>
      <color indexed="8"/>
      <name val="Arial"/>
      <charset val="134"/>
    </font>
    <font>
      <sz val="10"/>
      <color indexed="39"/>
      <name val="Arial"/>
      <charset val="134"/>
    </font>
    <font>
      <b/>
      <sz val="10"/>
      <color indexed="8"/>
      <name val="돋움"/>
      <charset val="129"/>
    </font>
    <font>
      <sz val="19"/>
      <color indexed="48"/>
      <name val="Arial"/>
      <charset val="134"/>
    </font>
    <font>
      <sz val="10"/>
      <color indexed="10"/>
      <name val="Arial"/>
      <charset val="134"/>
    </font>
    <font>
      <b/>
      <sz val="8.25"/>
      <name val="Helv"/>
      <charset val="134"/>
    </font>
    <font>
      <sz val="12"/>
      <name val="SWISS"/>
      <charset val="134"/>
    </font>
    <font>
      <b/>
      <sz val="10"/>
      <color indexed="8"/>
      <name val="Arial MT"/>
      <charset val="134"/>
    </font>
    <font>
      <b/>
      <sz val="18"/>
      <color indexed="62"/>
      <name val="맑은 고딕"/>
      <charset val="129"/>
    </font>
    <font>
      <b/>
      <sz val="10"/>
      <name val="Times New Roman"/>
      <charset val="134"/>
    </font>
    <font>
      <b/>
      <sz val="14"/>
      <name val="Arial MT"/>
      <charset val="134"/>
    </font>
    <font>
      <sz val="11"/>
      <name val="Arial MT"/>
      <charset val="134"/>
    </font>
    <font>
      <sz val="8"/>
      <color indexed="18"/>
      <name val="Tahoma"/>
      <charset val="134"/>
    </font>
    <font>
      <i/>
      <sz val="8"/>
      <color indexed="8"/>
      <name val="Tahoma"/>
      <charset val="134"/>
    </font>
    <font>
      <b/>
      <sz val="10"/>
      <name val="Arial"/>
      <charset val="134"/>
    </font>
    <font>
      <b/>
      <u/>
      <sz val="10"/>
      <name val="Tms Rmn"/>
      <charset val="134"/>
    </font>
    <font>
      <sz val="9"/>
      <name val="Arial"/>
      <charset val="134"/>
    </font>
    <font>
      <sz val="11"/>
      <color indexed="10"/>
      <name val="맑은 고딕"/>
      <charset val="129"/>
    </font>
    <font>
      <b/>
      <sz val="11"/>
      <color indexed="52"/>
      <name val="맑은 고딕"/>
      <charset val="129"/>
    </font>
    <font>
      <sz val="12"/>
      <color indexed="24"/>
      <name val="바탕체"/>
      <charset val="129"/>
    </font>
    <font>
      <b/>
      <sz val="18"/>
      <color indexed="24"/>
      <name val="바탕체"/>
      <charset val="129"/>
    </font>
    <font>
      <b/>
      <sz val="15"/>
      <color indexed="24"/>
      <name val="바탕체"/>
      <charset val="129"/>
    </font>
    <font>
      <sz val="11"/>
      <color indexed="20"/>
      <name val="맑은 고딕"/>
      <charset val="129"/>
    </font>
    <font>
      <u/>
      <sz val="11"/>
      <color indexed="36"/>
      <name val="돋움"/>
      <charset val="129"/>
    </font>
    <font>
      <sz val="14"/>
      <name val="뼞?¨I"/>
      <charset val="129"/>
    </font>
    <font>
      <sz val="14"/>
      <name val="뼥?ⓒ"/>
      <charset val="129"/>
    </font>
    <font>
      <sz val="12"/>
      <name val="┭병릇"/>
      <charset val="129"/>
    </font>
    <font>
      <sz val="1"/>
      <color indexed="0"/>
      <name val="Courier"/>
      <charset val="134"/>
    </font>
    <font>
      <sz val="11"/>
      <color indexed="60"/>
      <name val="맑은 고딕"/>
      <charset val="129"/>
    </font>
    <font>
      <sz val="12"/>
      <name val="뼻뮝"/>
      <charset val="129"/>
    </font>
    <font>
      <i/>
      <sz val="11"/>
      <color indexed="23"/>
      <name val="맑은 고딕"/>
      <charset val="129"/>
    </font>
    <font>
      <b/>
      <sz val="11"/>
      <color indexed="9"/>
      <name val="맑은 고딕"/>
      <charset val="129"/>
    </font>
    <font>
      <b/>
      <sz val="13"/>
      <name val="굴림체"/>
      <charset val="129"/>
    </font>
    <font>
      <sz val="14"/>
      <name val="뼻뮝"/>
      <charset val="129"/>
    </font>
    <font>
      <sz val="10"/>
      <name val="명조"/>
      <charset val="129"/>
    </font>
    <font>
      <sz val="18"/>
      <name val="돋움"/>
      <charset val="129"/>
    </font>
    <font>
      <sz val="11"/>
      <color indexed="52"/>
      <name val="맑은 고딕"/>
      <charset val="129"/>
    </font>
    <font>
      <u/>
      <sz val="9.6"/>
      <color indexed="36"/>
      <name val="굴림체"/>
      <charset val="129"/>
    </font>
    <font>
      <b/>
      <sz val="11"/>
      <color indexed="8"/>
      <name val="맑은 고딕"/>
      <charset val="129"/>
    </font>
    <font>
      <sz val="11"/>
      <color indexed="62"/>
      <name val="맑은 고딕"/>
      <charset val="129"/>
    </font>
    <font>
      <b/>
      <sz val="15"/>
      <color indexed="62"/>
      <name val="맑은 고딕"/>
      <charset val="129"/>
    </font>
    <font>
      <b/>
      <sz val="13"/>
      <color indexed="62"/>
      <name val="맑은 고딕"/>
      <charset val="129"/>
    </font>
    <font>
      <b/>
      <sz val="11"/>
      <color indexed="62"/>
      <name val="맑은 고딕"/>
      <charset val="129"/>
    </font>
    <font>
      <sz val="11"/>
      <color indexed="17"/>
      <name val="맑은 고딕"/>
      <charset val="129"/>
    </font>
    <font>
      <sz val="8"/>
      <name val="굴림"/>
      <charset val="129"/>
    </font>
    <font>
      <b/>
      <sz val="11"/>
      <color indexed="63"/>
      <name val="맑은 고딕"/>
      <charset val="129"/>
    </font>
    <font>
      <sz val="11"/>
      <name val="ＭＳ Ｐゴシック"/>
      <charset val="128"/>
    </font>
    <font>
      <sz val="12"/>
      <name val="芥竟"/>
      <charset val="129"/>
    </font>
    <font>
      <sz val="12"/>
      <name val="옢?릇"/>
      <charset val="129"/>
    </font>
    <font>
      <sz val="12"/>
      <name val="宋体"/>
      <charset val="129"/>
    </font>
  </fonts>
  <fills count="75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rgb="FF000000"/>
      </patternFill>
    </fill>
    <fill>
      <patternFill patternType="solid">
        <fgColor theme="6" tint="0.799951170384838"/>
        <bgColor rgb="FF000000"/>
      </patternFill>
    </fill>
    <fill>
      <patternFill patternType="solid">
        <fgColor theme="6" tint="0.799890133365886"/>
        <bgColor rgb="FF000000"/>
      </patternFill>
    </fill>
    <fill>
      <patternFill patternType="solid">
        <fgColor theme="5" tint="0.39997558519241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lightGray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9"/>
        <bgColor indexed="64"/>
      </patternFill>
    </fill>
    <fill>
      <patternFill patternType="gray0625">
        <fgColor indexed="15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darkGray">
        <fgColor indexed="1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indexed="8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5"/>
      </top>
      <bottom style="double">
        <color indexed="25"/>
      </bottom>
      <diagonal/>
    </border>
    <border>
      <left/>
      <right/>
      <top/>
      <bottom style="thick">
        <color indexed="2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auto="1"/>
      </top>
      <bottom/>
      <diagonal/>
    </border>
  </borders>
  <cellStyleXfs count="48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2" fillId="1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30" fillId="0" borderId="0"/>
    <xf numFmtId="0" fontId="31" fillId="0" borderId="0"/>
    <xf numFmtId="0" fontId="32" fillId="0" borderId="0"/>
    <xf numFmtId="0" fontId="32" fillId="0" borderId="0" applyFont="0" applyFill="0" applyBorder="0" applyAlignment="0" applyProtection="0"/>
    <xf numFmtId="3" fontId="33" fillId="0" borderId="2"/>
    <xf numFmtId="176" fontId="32" fillId="0" borderId="0"/>
    <xf numFmtId="0" fontId="34" fillId="0" borderId="0"/>
    <xf numFmtId="0" fontId="35" fillId="0" borderId="13" applyBorder="0"/>
    <xf numFmtId="177" fontId="35" fillId="0" borderId="13"/>
    <xf numFmtId="0" fontId="36" fillId="0" borderId="0" applyFont="0" applyFill="0" applyBorder="0" applyAlignment="0" applyProtection="0"/>
    <xf numFmtId="0" fontId="37" fillId="0" borderId="0"/>
    <xf numFmtId="0" fontId="38" fillId="0" borderId="0"/>
    <xf numFmtId="41" fontId="32" fillId="0" borderId="0" applyFont="0" applyFill="0" applyBorder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40" fillId="0" borderId="0"/>
    <xf numFmtId="0" fontId="41" fillId="0" borderId="0"/>
    <xf numFmtId="0" fontId="31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42" fillId="0" borderId="0"/>
    <xf numFmtId="0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9" fontId="38" fillId="0" borderId="0" applyFont="0" applyFill="0" applyBorder="0" applyAlignment="0" applyProtection="0"/>
    <xf numFmtId="0" fontId="35" fillId="0" borderId="0" applyFont="0" applyFill="0" applyBorder="0" applyAlignment="0" applyProtection="0"/>
    <xf numFmtId="180" fontId="38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/>
    <xf numFmtId="0" fontId="45" fillId="0" borderId="0" applyFont="0" applyFill="0" applyBorder="0" applyAlignment="0" applyProtection="0"/>
    <xf numFmtId="0" fontId="31" fillId="43" borderId="0"/>
    <xf numFmtId="0" fontId="46" fillId="44" borderId="0"/>
    <xf numFmtId="0" fontId="47" fillId="45" borderId="0"/>
    <xf numFmtId="0" fontId="48" fillId="46" borderId="0"/>
    <xf numFmtId="0" fontId="49" fillId="0" borderId="0"/>
    <xf numFmtId="0" fontId="50" fillId="0" borderId="0"/>
    <xf numFmtId="0" fontId="51" fillId="0" borderId="0"/>
    <xf numFmtId="0" fontId="31" fillId="47" borderId="0"/>
    <xf numFmtId="4" fontId="31" fillId="47" borderId="0"/>
    <xf numFmtId="181" fontId="31" fillId="47" borderId="14"/>
    <xf numFmtId="0" fontId="31" fillId="47" borderId="14"/>
    <xf numFmtId="0" fontId="52" fillId="48" borderId="0"/>
    <xf numFmtId="0" fontId="52" fillId="47" borderId="0"/>
    <xf numFmtId="182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53" fillId="0" borderId="0" applyFont="0" applyFill="0" applyBorder="0" applyAlignment="0" applyProtection="0"/>
    <xf numFmtId="185" fontId="38" fillId="0" borderId="0" applyFont="0" applyFill="0" applyBorder="0" applyAlignment="0" applyProtection="0"/>
    <xf numFmtId="186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187" fontId="3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/>
    <xf numFmtId="188" fontId="38" fillId="0" borderId="0" applyFont="0" applyFill="0" applyBorder="0" applyAlignment="0" applyProtection="0"/>
    <xf numFmtId="0" fontId="56" fillId="0" borderId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1" fontId="30" fillId="0" borderId="15">
      <alignment horizontal="center" vertical="center"/>
    </xf>
    <xf numFmtId="49" fontId="61" fillId="0" borderId="16" applyBorder="0">
      <alignment vertical="center"/>
    </xf>
    <xf numFmtId="0" fontId="62" fillId="49" borderId="0">
      <protection locked="0"/>
    </xf>
    <xf numFmtId="0" fontId="44" fillId="49" borderId="0">
      <protection locked="0"/>
    </xf>
    <xf numFmtId="191" fontId="44" fillId="49" borderId="0">
      <protection locked="0"/>
    </xf>
    <xf numFmtId="4" fontId="63" fillId="0" borderId="17">
      <alignment vertical="center"/>
    </xf>
    <xf numFmtId="9" fontId="34" fillId="0" borderId="0" applyFont="0" applyFill="0" applyBorder="0" applyAlignment="0" applyProtection="0"/>
    <xf numFmtId="0" fontId="64" fillId="50" borderId="0" applyNumberFormat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65" fillId="0" borderId="0">
      <alignment horizontal="centerContinuous"/>
    </xf>
    <xf numFmtId="0" fontId="64" fillId="43" borderId="0" applyNumberFormat="0" applyBorder="0" applyAlignment="0" applyProtection="0">
      <alignment vertical="center"/>
    </xf>
    <xf numFmtId="0" fontId="64" fillId="54" borderId="0" applyNumberFormat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56" borderId="0" applyNumberFormat="0" applyBorder="0" applyAlignment="0" applyProtection="0">
      <alignment vertical="center"/>
    </xf>
    <xf numFmtId="192" fontId="32" fillId="0" borderId="0">
      <alignment vertical="center"/>
    </xf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1" applyBorder="0"/>
    <xf numFmtId="0" fontId="72" fillId="0" borderId="0" applyFont="0" applyFill="0" applyBorder="0" applyAlignment="0" applyProtection="0"/>
    <xf numFmtId="178" fontId="73" fillId="0" borderId="0" applyFont="0" applyFill="0" applyBorder="0" applyAlignment="0" applyProtection="0"/>
    <xf numFmtId="193" fontId="34" fillId="0" borderId="0" applyFont="0" applyFill="0" applyBorder="0" applyAlignment="0" applyProtection="0"/>
    <xf numFmtId="193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194" fontId="73" fillId="0" borderId="0" applyFont="0" applyFill="0" applyBorder="0" applyAlignment="0" applyProtection="0"/>
    <xf numFmtId="194" fontId="34" fillId="0" borderId="0" applyFont="0" applyFill="0" applyBorder="0" applyAlignment="0" applyProtection="0"/>
    <xf numFmtId="0" fontId="77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34" fillId="0" borderId="0" applyFont="0" applyFill="0" applyBorder="0" applyAlignment="0" applyProtection="0"/>
    <xf numFmtId="178" fontId="77" fillId="0" borderId="0" applyFont="0" applyFill="0" applyBorder="0" applyAlignment="0" applyProtection="0"/>
    <xf numFmtId="17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195" fontId="31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34" fillId="0" borderId="0" applyFont="0" applyFill="0" applyBorder="0" applyAlignment="0" applyProtection="0"/>
    <xf numFmtId="196" fontId="38" fillId="0" borderId="0" applyFont="0" applyFill="0" applyBorder="0" applyAlignment="0" applyProtection="0"/>
    <xf numFmtId="197" fontId="81" fillId="0" borderId="0" applyFont="0" applyFill="0" applyBorder="0" applyAlignment="0" applyProtection="0"/>
    <xf numFmtId="178" fontId="79" fillId="0" borderId="0" applyFont="0" applyFill="0" applyBorder="0" applyAlignment="0" applyProtection="0"/>
    <xf numFmtId="198" fontId="73" fillId="0" borderId="0" applyFont="0" applyFill="0" applyBorder="0" applyAlignment="0" applyProtection="0"/>
    <xf numFmtId="199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199" fontId="73" fillId="0" borderId="0" applyFont="0" applyFill="0" applyBorder="0" applyAlignment="0" applyProtection="0"/>
    <xf numFmtId="200" fontId="74" fillId="0" borderId="0" applyFont="0" applyFill="0" applyBorder="0" applyAlignment="0" applyProtection="0"/>
    <xf numFmtId="200" fontId="75" fillId="0" borderId="0" applyFont="0" applyFill="0" applyBorder="0" applyAlignment="0" applyProtection="0"/>
    <xf numFmtId="198" fontId="76" fillId="0" borderId="0" applyFont="0" applyFill="0" applyBorder="0" applyAlignment="0" applyProtection="0"/>
    <xf numFmtId="179" fontId="73" fillId="0" borderId="0" applyFont="0" applyFill="0" applyBorder="0" applyAlignment="0" applyProtection="0"/>
    <xf numFmtId="179" fontId="34" fillId="0" borderId="0" applyFont="0" applyFill="0" applyBorder="0" applyAlignment="0" applyProtection="0"/>
    <xf numFmtId="200" fontId="73" fillId="0" borderId="0" applyFont="0" applyFill="0" applyBorder="0" applyAlignment="0" applyProtection="0"/>
    <xf numFmtId="200" fontId="34" fillId="0" borderId="0" applyFont="0" applyFill="0" applyBorder="0" applyAlignment="0" applyProtection="0"/>
    <xf numFmtId="198" fontId="77" fillId="0" borderId="0" applyFont="0" applyFill="0" applyBorder="0" applyAlignment="0" applyProtection="0"/>
    <xf numFmtId="198" fontId="78" fillId="0" borderId="0" applyFont="0" applyFill="0" applyBorder="0" applyAlignment="0" applyProtection="0"/>
    <xf numFmtId="14" fontId="34" fillId="0" borderId="0" applyFont="0" applyFill="0" applyBorder="0" applyAlignment="0" applyProtection="0"/>
    <xf numFmtId="198" fontId="34" fillId="0" borderId="0" applyFont="0" applyFill="0" applyBorder="0" applyAlignment="0" applyProtection="0"/>
    <xf numFmtId="177" fontId="38" fillId="0" borderId="0" applyFont="0" applyFill="0" applyBorder="0" applyAlignment="0" applyProtection="0"/>
    <xf numFmtId="201" fontId="81" fillId="0" borderId="0" applyFont="0" applyFill="0" applyBorder="0" applyAlignment="0" applyProtection="0"/>
    <xf numFmtId="198" fontId="79" fillId="0" borderId="0" applyFont="0" applyFill="0" applyBorder="0" applyAlignment="0" applyProtection="0"/>
    <xf numFmtId="0" fontId="35" fillId="0" borderId="0"/>
    <xf numFmtId="0" fontId="82" fillId="0" borderId="0">
      <alignment horizontal="center" wrapText="1"/>
      <protection locked="0"/>
    </xf>
    <xf numFmtId="41" fontId="73" fillId="0" borderId="0" applyFont="0" applyFill="0" applyBorder="0" applyAlignment="0" applyProtection="0"/>
    <xf numFmtId="202" fontId="34" fillId="0" borderId="0" applyFont="0" applyFill="0" applyBorder="0" applyAlignment="0" applyProtection="0"/>
    <xf numFmtId="0" fontId="55" fillId="0" borderId="0" applyBorder="0" applyProtection="0">
      <alignment vertical="center"/>
      <protection locked="0"/>
    </xf>
    <xf numFmtId="203" fontId="38" fillId="0" borderId="0" applyFont="0" applyFill="0" applyBorder="0" applyAlignment="0" applyProtection="0"/>
    <xf numFmtId="176" fontId="74" fillId="0" borderId="0" applyFont="0" applyFill="0" applyBorder="0" applyAlignment="0" applyProtection="0"/>
    <xf numFmtId="176" fontId="75" fillId="0" borderId="0" applyFont="0" applyFill="0" applyBorder="0" applyAlignment="0" applyProtection="0"/>
    <xf numFmtId="41" fontId="76" fillId="0" borderId="0" applyFont="0" applyFill="0" applyBorder="0" applyAlignment="0" applyProtection="0"/>
    <xf numFmtId="204" fontId="3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3" fillId="0" borderId="0" applyFont="0" applyFill="0" applyBorder="0" applyAlignment="0"/>
    <xf numFmtId="0" fontId="34" fillId="0" borderId="0" applyFont="0" applyFill="0" applyBorder="0" applyAlignment="0"/>
    <xf numFmtId="202" fontId="73" fillId="0" borderId="0" applyFont="0" applyFill="0" applyBorder="0" applyAlignment="0" applyProtection="0"/>
    <xf numFmtId="38" fontId="34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83" fillId="0" borderId="0" applyFont="0" applyFill="0" applyBorder="0" applyAlignment="0" applyProtection="0"/>
    <xf numFmtId="41" fontId="34" fillId="0" borderId="0" applyFont="0" applyFill="0" applyBorder="0" applyAlignment="0" applyProtection="0"/>
    <xf numFmtId="41" fontId="79" fillId="0" borderId="0" applyFont="0" applyFill="0" applyBorder="0" applyAlignment="0" applyProtection="0"/>
    <xf numFmtId="0" fontId="84" fillId="0" borderId="0" applyFont="0" applyFill="0" applyBorder="0" applyAlignment="0" applyProtection="0"/>
    <xf numFmtId="43" fontId="73" fillId="0" borderId="0" applyFont="0" applyFill="0" applyBorder="0" applyAlignment="0" applyProtection="0"/>
    <xf numFmtId="180" fontId="34" fillId="0" borderId="0" applyFont="0" applyFill="0" applyBorder="0" applyAlignment="0" applyProtection="0"/>
    <xf numFmtId="205" fontId="38" fillId="0" borderId="0" applyFont="0" applyFill="0" applyBorder="0" applyAlignment="0" applyProtection="0"/>
    <xf numFmtId="206" fontId="74" fillId="0" borderId="0" applyFont="0" applyFill="0" applyBorder="0" applyAlignment="0" applyProtection="0"/>
    <xf numFmtId="206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207" fontId="38" fillId="0" borderId="0" applyFont="0" applyFill="0" applyBorder="0" applyAlignment="0" applyProtection="0"/>
    <xf numFmtId="206" fontId="34" fillId="0" borderId="0" applyFont="0" applyFill="0" applyBorder="0" applyAlignment="0" applyProtection="0"/>
    <xf numFmtId="206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180" fontId="73" fillId="0" borderId="0" applyFont="0" applyFill="0" applyBorder="0" applyAlignment="0" applyProtection="0"/>
    <xf numFmtId="40" fontId="34" fillId="0" borderId="0" applyFont="0" applyFill="0" applyBorder="0" applyAlignment="0" applyProtection="0"/>
    <xf numFmtId="40" fontId="73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79" fillId="0" borderId="0" applyFont="0" applyFill="0" applyBorder="0" applyAlignment="0" applyProtection="0"/>
    <xf numFmtId="3" fontId="32" fillId="0" borderId="0">
      <alignment vertical="center"/>
    </xf>
    <xf numFmtId="0" fontId="85" fillId="0" borderId="0"/>
    <xf numFmtId="0" fontId="31" fillId="0" borderId="0" applyNumberFormat="0" applyBorder="0">
      <protection locked="0"/>
    </xf>
    <xf numFmtId="0" fontId="86" fillId="0" borderId="0"/>
    <xf numFmtId="0" fontId="87" fillId="0" borderId="0" applyNumberFormat="0" applyFill="0" applyBorder="0" applyAlignment="0" applyProtection="0"/>
    <xf numFmtId="0" fontId="88" fillId="0" borderId="1" applyFont="0" applyAlignment="0">
      <alignment vertical="center"/>
    </xf>
    <xf numFmtId="0" fontId="56" fillId="0" borderId="18">
      <alignment horizontal="center" vertical="center" wrapText="1"/>
    </xf>
    <xf numFmtId="0" fontId="89" fillId="0" borderId="0" applyNumberFormat="0" applyFill="0" applyBorder="0" applyProtection="0">
      <alignment horizontal="left"/>
    </xf>
    <xf numFmtId="0" fontId="90" fillId="57" borderId="16">
      <alignment horizontal="center" vertical="center"/>
    </xf>
    <xf numFmtId="0" fontId="70" fillId="0" borderId="0"/>
    <xf numFmtId="0" fontId="68" fillId="0" borderId="0"/>
    <xf numFmtId="0" fontId="69" fillId="0" borderId="0"/>
    <xf numFmtId="0" fontId="67" fillId="0" borderId="0"/>
    <xf numFmtId="0" fontId="73" fillId="0" borderId="0"/>
    <xf numFmtId="0" fontId="91" fillId="0" borderId="0"/>
    <xf numFmtId="0" fontId="79" fillId="0" borderId="0"/>
    <xf numFmtId="0" fontId="78" fillId="0" borderId="0"/>
    <xf numFmtId="0" fontId="77" fillId="0" borderId="0"/>
    <xf numFmtId="0" fontId="92" fillId="0" borderId="0">
      <alignment vertical="center"/>
    </xf>
    <xf numFmtId="0" fontId="72" fillId="0" borderId="0"/>
    <xf numFmtId="0" fontId="54" fillId="0" borderId="0"/>
    <xf numFmtId="0" fontId="75" fillId="0" borderId="0"/>
    <xf numFmtId="0" fontId="74" fillId="0" borderId="0"/>
    <xf numFmtId="0" fontId="93" fillId="0" borderId="0"/>
    <xf numFmtId="0" fontId="94" fillId="0" borderId="0"/>
    <xf numFmtId="0" fontId="95" fillId="0" borderId="0"/>
    <xf numFmtId="0" fontId="96" fillId="0" borderId="0"/>
    <xf numFmtId="0" fontId="97" fillId="0" borderId="0"/>
    <xf numFmtId="0" fontId="98" fillId="0" borderId="0"/>
    <xf numFmtId="0" fontId="99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2" fontId="34" fillId="0" borderId="0"/>
    <xf numFmtId="0" fontId="107" fillId="0" borderId="0"/>
    <xf numFmtId="0" fontId="80" fillId="0" borderId="0"/>
    <xf numFmtId="0" fontId="108" fillId="0" borderId="0"/>
    <xf numFmtId="0" fontId="109" fillId="0" borderId="0"/>
    <xf numFmtId="0" fontId="110" fillId="0" borderId="0"/>
    <xf numFmtId="0" fontId="111" fillId="0" borderId="0"/>
    <xf numFmtId="0" fontId="112" fillId="0" borderId="0"/>
    <xf numFmtId="0" fontId="34" fillId="0" borderId="0" applyBorder="0"/>
    <xf numFmtId="41" fontId="42" fillId="0" borderId="0" applyFont="0" applyFill="0" applyBorder="0" applyAlignment="0" applyProtection="0"/>
    <xf numFmtId="208" fontId="31" fillId="0" borderId="0" applyFont="0" applyFill="0" applyBorder="0" applyAlignment="0" applyProtection="0"/>
    <xf numFmtId="0" fontId="38" fillId="0" borderId="0" applyFill="0" applyBorder="0" applyAlignment="0"/>
    <xf numFmtId="209" fontId="113" fillId="0" borderId="0" applyFill="0" applyBorder="0" applyAlignment="0"/>
    <xf numFmtId="0" fontId="114" fillId="0" borderId="0"/>
    <xf numFmtId="0" fontId="115" fillId="50" borderId="19">
      <alignment horizontal="center" vertical="center"/>
      <protection locked="0"/>
    </xf>
    <xf numFmtId="0" fontId="116" fillId="0" borderId="0" applyNumberFormat="0" applyFill="0" applyBorder="0" applyProtection="0">
      <alignment horizontal="right"/>
    </xf>
    <xf numFmtId="210" fontId="117" fillId="0" borderId="0"/>
    <xf numFmtId="211" fontId="31" fillId="0" borderId="0" applyFont="0" applyFill="0" applyBorder="0" applyAlignment="0" applyProtection="0"/>
    <xf numFmtId="212" fontId="38" fillId="0" borderId="0"/>
    <xf numFmtId="0" fontId="118" fillId="0" borderId="0" applyFont="0" applyFill="0" applyBorder="0" applyAlignment="0" applyProtection="0"/>
    <xf numFmtId="213" fontId="118" fillId="0" borderId="0">
      <alignment horizontal="center"/>
    </xf>
    <xf numFmtId="209" fontId="113" fillId="0" borderId="0" applyFont="0" applyFill="0" applyBorder="0" applyAlignment="0" applyProtection="0"/>
    <xf numFmtId="214" fontId="31" fillId="0" borderId="0" applyFont="0" applyFill="0" applyBorder="0" applyAlignment="0" applyProtection="0"/>
    <xf numFmtId="0" fontId="43" fillId="0" borderId="0"/>
    <xf numFmtId="215" fontId="31" fillId="43" borderId="0" applyFont="0" applyBorder="0"/>
    <xf numFmtId="0" fontId="31" fillId="0" borderId="0" applyNumberFormat="0" applyFont="0" applyFill="0" applyBorder="0" applyAlignment="0" applyProtection="0"/>
    <xf numFmtId="15" fontId="35" fillId="0" borderId="0"/>
    <xf numFmtId="14" fontId="119" fillId="0" borderId="0" applyFill="0" applyBorder="0" applyAlignment="0"/>
    <xf numFmtId="38" fontId="35" fillId="0" borderId="0" applyFont="0" applyFill="0" applyBorder="0" applyAlignment="0" applyProtection="0"/>
    <xf numFmtId="40" fontId="31" fillId="0" borderId="15" applyBorder="0"/>
    <xf numFmtId="0" fontId="110" fillId="0" borderId="0" applyFont="0" applyFill="0" applyBorder="0" applyAlignment="0" applyProtection="0"/>
    <xf numFmtId="0" fontId="120" fillId="0" borderId="0" applyNumberFormat="0" applyFill="0" applyBorder="0" applyProtection="0">
      <alignment horizontal="left"/>
    </xf>
    <xf numFmtId="0" fontId="121" fillId="0" borderId="20" applyNumberFormat="0" applyFill="0" applyBorder="0" applyAlignment="0">
      <alignment horizontal="centerContinuous"/>
      <protection locked="0"/>
    </xf>
    <xf numFmtId="211" fontId="31" fillId="0" borderId="0" applyFill="0" applyBorder="0" applyAlignment="0"/>
    <xf numFmtId="216" fontId="113" fillId="0" borderId="0" applyFill="0" applyBorder="0" applyAlignment="0"/>
    <xf numFmtId="0" fontId="31" fillId="0" borderId="0" applyNumberFormat="0" applyFont="0" applyFill="0" applyBorder="0" applyAlignment="0">
      <protection locked="0"/>
    </xf>
    <xf numFmtId="0" fontId="122" fillId="0" borderId="0" applyNumberFormat="0" applyFill="0" applyBorder="0" applyProtection="0">
      <alignment horizontal="right"/>
    </xf>
    <xf numFmtId="217" fontId="31" fillId="0" borderId="0" applyFont="0" applyFill="0" applyBorder="0" applyAlignment="0" applyProtection="0"/>
    <xf numFmtId="218" fontId="31" fillId="0" borderId="0" applyFont="0" applyFill="0" applyBorder="0" applyAlignment="0" applyProtection="0"/>
    <xf numFmtId="219" fontId="31" fillId="0" borderId="0" applyFont="0" applyFill="0" applyBorder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Protection="0">
      <alignment horizontal="right"/>
    </xf>
    <xf numFmtId="1" fontId="125" fillId="0" borderId="19" applyNumberFormat="0" applyFill="0" applyBorder="0" applyAlignment="0">
      <alignment horizontal="center"/>
      <protection hidden="1"/>
    </xf>
    <xf numFmtId="0" fontId="31" fillId="0" borderId="0" applyNumberFormat="0" applyFont="0" applyFill="0" applyBorder="0" applyAlignment="0"/>
    <xf numFmtId="38" fontId="51" fillId="50" borderId="0" applyNumberFormat="0" applyBorder="0" applyAlignment="0" applyProtection="0"/>
    <xf numFmtId="0" fontId="126" fillId="0" borderId="0">
      <alignment horizontal="left"/>
    </xf>
    <xf numFmtId="0" fontId="127" fillId="0" borderId="21" applyNumberFormat="0" applyAlignment="0" applyProtection="0">
      <alignment horizontal="left" vertical="center"/>
    </xf>
    <xf numFmtId="0" fontId="127" fillId="0" borderId="22">
      <alignment horizontal="left" vertical="center"/>
    </xf>
    <xf numFmtId="0" fontId="128" fillId="0" borderId="0" applyNumberFormat="0" applyFill="0" applyBorder="0" applyAlignment="0" applyProtection="0">
      <alignment vertical="top"/>
      <protection locked="0"/>
    </xf>
    <xf numFmtId="10" fontId="51" fillId="50" borderId="2" applyNumberFormat="0" applyBorder="0" applyAlignment="0" applyProtection="0"/>
    <xf numFmtId="0" fontId="129" fillId="0" borderId="0" applyNumberFormat="0" applyFill="0" applyBorder="0" applyProtection="0">
      <alignment horizontal="left"/>
    </xf>
    <xf numFmtId="220" fontId="31" fillId="0" borderId="0" applyFont="0" applyFill="0" applyBorder="0" applyAlignment="0" applyProtection="0"/>
    <xf numFmtId="221" fontId="31" fillId="0" borderId="0" applyFont="0" applyFill="0" applyBorder="0" applyAlignment="0" applyProtection="0"/>
    <xf numFmtId="0" fontId="88" fillId="0" borderId="0" applyNumberFormat="0" applyFill="0" applyBorder="0" applyAlignment="0">
      <alignment horizontal="right"/>
    </xf>
    <xf numFmtId="0" fontId="130" fillId="0" borderId="23" applyNumberFormat="0" applyFill="0" applyBorder="0" applyAlignment="0"/>
    <xf numFmtId="0" fontId="35" fillId="0" borderId="0" applyFont="0"/>
    <xf numFmtId="0" fontId="131" fillId="0" borderId="0" applyNumberFormat="0" applyFill="0" applyBorder="0" applyAlignment="0" applyProtection="0">
      <alignment vertical="top"/>
      <protection locked="0"/>
    </xf>
    <xf numFmtId="222" fontId="132" fillId="43" borderId="24" applyNumberFormat="0" applyBorder="0" applyAlignment="0">
      <alignment vertical="center"/>
    </xf>
    <xf numFmtId="223" fontId="133" fillId="0" borderId="0" applyFont="0" applyFill="0" applyBorder="0" applyAlignment="0" applyProtection="0"/>
    <xf numFmtId="0" fontId="134" fillId="0" borderId="25"/>
    <xf numFmtId="224" fontId="35" fillId="0" borderId="0" applyFont="0" applyFill="0" applyBorder="0" applyAlignment="0" applyProtection="0"/>
    <xf numFmtId="225" fontId="35" fillId="0" borderId="0" applyFont="0" applyFill="0" applyBorder="0" applyAlignment="0" applyProtection="0"/>
    <xf numFmtId="226" fontId="35" fillId="0" borderId="0" applyFont="0" applyFill="0" applyBorder="0" applyAlignment="0" applyProtection="0"/>
    <xf numFmtId="227" fontId="35" fillId="0" borderId="0" applyFont="0" applyFill="0" applyBorder="0" applyAlignment="0" applyProtection="0"/>
    <xf numFmtId="37" fontId="135" fillId="0" borderId="0"/>
    <xf numFmtId="228" fontId="32" fillId="0" borderId="0"/>
    <xf numFmtId="229" fontId="118" fillId="58" borderId="0" applyBorder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8" fillId="0" borderId="0">
      <alignment vertical="center"/>
    </xf>
    <xf numFmtId="0" fontId="133" fillId="0" borderId="0"/>
    <xf numFmtId="40" fontId="35" fillId="0" borderId="0"/>
    <xf numFmtId="40" fontId="136" fillId="0" borderId="0" applyFont="0" applyFill="0" applyBorder="0" applyAlignment="0" applyProtection="0"/>
    <xf numFmtId="38" fontId="136" fillId="0" borderId="0" applyFont="0" applyFill="0" applyBorder="0" applyAlignment="0" applyProtection="0"/>
    <xf numFmtId="0" fontId="113" fillId="0" borderId="0"/>
    <xf numFmtId="230" fontId="31" fillId="0" borderId="0" applyFont="0" applyFill="0" applyBorder="0" applyAlignment="0" applyProtection="0"/>
    <xf numFmtId="231" fontId="31" fillId="0" borderId="0" applyFont="0" applyFill="0" applyBorder="0" applyAlignment="0" applyProtection="0"/>
    <xf numFmtId="14" fontId="82" fillId="0" borderId="0">
      <alignment horizontal="center" wrapText="1"/>
      <protection locked="0"/>
    </xf>
    <xf numFmtId="232" fontId="113" fillId="0" borderId="0" applyFont="0" applyFill="0" applyBorder="0" applyAlignment="0" applyProtection="0"/>
    <xf numFmtId="233" fontId="31" fillId="0" borderId="0" applyFont="0" applyFill="0" applyBorder="0" applyAlignment="0" applyProtection="0"/>
    <xf numFmtId="10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10" fontId="35" fillId="0" borderId="0" applyFont="0" applyFill="0" applyBorder="0" applyAlignment="0" applyProtection="0"/>
    <xf numFmtId="37" fontId="137" fillId="0" borderId="0"/>
    <xf numFmtId="0" fontId="138" fillId="0" borderId="0" applyNumberFormat="0" applyFill="0" applyBorder="0" applyProtection="0">
      <alignment horizontal="right"/>
    </xf>
    <xf numFmtId="4" fontId="139" fillId="0" borderId="0" applyFont="0" applyFill="0" applyBorder="0" applyProtection="0">
      <alignment horizontal="right"/>
    </xf>
    <xf numFmtId="0" fontId="35" fillId="0" borderId="0" applyNumberFormat="0" applyFont="0" applyFill="0" applyBorder="0" applyAlignment="0" applyProtection="0">
      <alignment horizontal="left"/>
    </xf>
    <xf numFmtId="15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0" fontId="140" fillId="0" borderId="25">
      <alignment horizontal="center"/>
    </xf>
    <xf numFmtId="3" fontId="35" fillId="0" borderId="0" applyFont="0" applyFill="0" applyBorder="0" applyAlignment="0" applyProtection="0"/>
    <xf numFmtId="0" fontId="35" fillId="59" borderId="0" applyNumberFormat="0" applyFont="0" applyBorder="0" applyAlignment="0" applyProtection="0"/>
    <xf numFmtId="4" fontId="141" fillId="52" borderId="26" applyNumberFormat="0" applyProtection="0">
      <alignment vertical="center"/>
    </xf>
    <xf numFmtId="4" fontId="142" fillId="52" borderId="26" applyNumberFormat="0" applyProtection="0">
      <alignment vertical="center"/>
    </xf>
    <xf numFmtId="4" fontId="143" fillId="52" borderId="26" applyNumberFormat="0" applyProtection="0">
      <alignment horizontal="left" vertical="center" indent="1"/>
    </xf>
    <xf numFmtId="0" fontId="144" fillId="52" borderId="26" applyNumberFormat="0" applyProtection="0">
      <alignment horizontal="left" vertical="top" indent="1"/>
    </xf>
    <xf numFmtId="4" fontId="143" fillId="45" borderId="0" applyNumberFormat="0" applyProtection="0">
      <alignment horizontal="left" vertical="center" indent="1"/>
    </xf>
    <xf numFmtId="4" fontId="119" fillId="60" borderId="26" applyNumberFormat="0" applyProtection="0">
      <alignment horizontal="right" vertical="center"/>
    </xf>
    <xf numFmtId="4" fontId="119" fillId="61" borderId="26" applyNumberFormat="0" applyProtection="0">
      <alignment horizontal="right" vertical="center"/>
    </xf>
    <xf numFmtId="4" fontId="119" fillId="62" borderId="26" applyNumberFormat="0" applyProtection="0">
      <alignment horizontal="right" vertical="center"/>
    </xf>
    <xf numFmtId="4" fontId="119" fillId="63" borderId="26" applyNumberFormat="0" applyProtection="0">
      <alignment horizontal="right" vertical="center"/>
    </xf>
    <xf numFmtId="4" fontId="119" fillId="64" borderId="26" applyNumberFormat="0" applyProtection="0">
      <alignment horizontal="right" vertical="center"/>
    </xf>
    <xf numFmtId="4" fontId="119" fillId="65" borderId="26" applyNumberFormat="0" applyProtection="0">
      <alignment horizontal="right" vertical="center"/>
    </xf>
    <xf numFmtId="4" fontId="119" fillId="66" borderId="26" applyNumberFormat="0" applyProtection="0">
      <alignment horizontal="right" vertical="center"/>
    </xf>
    <xf numFmtId="4" fontId="119" fillId="67" borderId="26" applyNumberFormat="0" applyProtection="0">
      <alignment horizontal="right" vertical="center"/>
    </xf>
    <xf numFmtId="4" fontId="119" fillId="68" borderId="26" applyNumberFormat="0" applyProtection="0">
      <alignment horizontal="right" vertical="center"/>
    </xf>
    <xf numFmtId="4" fontId="141" fillId="69" borderId="27" applyNumberFormat="0" applyProtection="0">
      <alignment horizontal="left" vertical="center" indent="1"/>
    </xf>
    <xf numFmtId="4" fontId="141" fillId="54" borderId="0" applyNumberFormat="0" applyProtection="0">
      <alignment horizontal="left" vertical="center" indent="1"/>
    </xf>
    <xf numFmtId="4" fontId="141" fillId="45" borderId="0" applyNumberFormat="0" applyProtection="0">
      <alignment horizontal="left" vertical="center" indent="1"/>
    </xf>
    <xf numFmtId="4" fontId="119" fillId="70" borderId="26" applyNumberFormat="0" applyProtection="0">
      <alignment horizontal="right" vertical="center"/>
    </xf>
    <xf numFmtId="4" fontId="119" fillId="54" borderId="0" applyNumberFormat="0" applyProtection="0">
      <alignment horizontal="left" vertical="center" indent="1"/>
    </xf>
    <xf numFmtId="4" fontId="119" fillId="45" borderId="0" applyNumberFormat="0" applyProtection="0">
      <alignment horizontal="left" vertical="center" indent="1"/>
    </xf>
    <xf numFmtId="0" fontId="31" fillId="45" borderId="26" applyNumberFormat="0" applyProtection="0">
      <alignment horizontal="left" vertical="center" indent="1"/>
    </xf>
    <xf numFmtId="0" fontId="31" fillId="45" borderId="26" applyNumberFormat="0" applyProtection="0">
      <alignment horizontal="left" vertical="top" indent="1"/>
    </xf>
    <xf numFmtId="0" fontId="31" fillId="70" borderId="26" applyNumberFormat="0" applyProtection="0">
      <alignment horizontal="left" vertical="center" indent="1"/>
    </xf>
    <xf numFmtId="0" fontId="31" fillId="70" borderId="26" applyNumberFormat="0" applyProtection="0">
      <alignment horizontal="left" vertical="top" indent="1"/>
    </xf>
    <xf numFmtId="0" fontId="31" fillId="54" borderId="26" applyNumberFormat="0" applyProtection="0">
      <alignment horizontal="left" vertical="center" indent="1"/>
    </xf>
    <xf numFmtId="0" fontId="31" fillId="54" borderId="26" applyNumberFormat="0" applyProtection="0">
      <alignment horizontal="left" vertical="top" indent="1"/>
    </xf>
    <xf numFmtId="0" fontId="31" fillId="53" borderId="26" applyNumberFormat="0" applyProtection="0">
      <alignment horizontal="left" vertical="center" indent="1"/>
    </xf>
    <xf numFmtId="0" fontId="31" fillId="53" borderId="26" applyNumberFormat="0" applyProtection="0">
      <alignment horizontal="left" vertical="top" indent="1"/>
    </xf>
    <xf numFmtId="4" fontId="119" fillId="47" borderId="26" applyNumberFormat="0" applyProtection="0">
      <alignment vertical="center"/>
    </xf>
    <xf numFmtId="4" fontId="145" fillId="47" borderId="26" applyNumberFormat="0" applyProtection="0">
      <alignment vertical="center"/>
    </xf>
    <xf numFmtId="4" fontId="119" fillId="47" borderId="26" applyNumberFormat="0" applyProtection="0">
      <alignment horizontal="left" vertical="center" indent="1"/>
    </xf>
    <xf numFmtId="0" fontId="119" fillId="47" borderId="26" applyNumberFormat="0" applyProtection="0">
      <alignment horizontal="left" vertical="top" indent="1"/>
    </xf>
    <xf numFmtId="4" fontId="143" fillId="53" borderId="26" applyNumberFormat="0" applyProtection="0">
      <alignment horizontal="right" vertical="center"/>
    </xf>
    <xf numFmtId="4" fontId="145" fillId="53" borderId="26" applyNumberFormat="0" applyProtection="0">
      <alignment horizontal="right" vertical="center"/>
    </xf>
    <xf numFmtId="4" fontId="146" fillId="54" borderId="26" applyNumberFormat="0" applyProtection="0">
      <alignment horizontal="left" vertical="center" indent="1"/>
    </xf>
    <xf numFmtId="0" fontId="119" fillId="70" borderId="26" applyNumberFormat="0" applyProtection="0">
      <alignment horizontal="left" vertical="top" indent="1"/>
    </xf>
    <xf numFmtId="4" fontId="147" fillId="70" borderId="28" applyNumberFormat="0" applyProtection="0">
      <alignment horizontal="left" vertical="center" indent="1"/>
    </xf>
    <xf numFmtId="4" fontId="148" fillId="53" borderId="26" applyNumberFormat="0" applyProtection="0">
      <alignment horizontal="right" vertical="center"/>
    </xf>
    <xf numFmtId="0" fontId="55" fillId="0" borderId="0" applyFont="0" applyFill="0" applyBorder="0" applyAlignment="0" applyProtection="0"/>
    <xf numFmtId="0" fontId="149" fillId="71" borderId="29"/>
    <xf numFmtId="0" fontId="31" fillId="0" borderId="0" applyFont="0" applyFill="0" applyBorder="0" applyAlignment="0" applyProtection="0"/>
    <xf numFmtId="0" fontId="150" fillId="0" borderId="0"/>
    <xf numFmtId="232" fontId="113" fillId="0" borderId="0">
      <alignment horizontal="center"/>
    </xf>
    <xf numFmtId="234" fontId="127" fillId="0" borderId="0">
      <alignment vertical="center"/>
    </xf>
    <xf numFmtId="0" fontId="6" fillId="0" borderId="0"/>
    <xf numFmtId="1" fontId="31" fillId="0" borderId="0" applyNumberFormat="0" applyFill="0" applyBorder="0" applyAlignment="0" applyProtection="0"/>
    <xf numFmtId="0" fontId="134" fillId="0" borderId="0"/>
    <xf numFmtId="0" fontId="137" fillId="0" borderId="0"/>
    <xf numFmtId="0" fontId="51" fillId="0" borderId="0" applyNumberFormat="0" applyBorder="0" applyAlignment="0">
      <alignment horizontal="center"/>
    </xf>
    <xf numFmtId="235" fontId="151" fillId="72" borderId="30">
      <alignment horizontal="right"/>
    </xf>
    <xf numFmtId="49" fontId="119" fillId="0" borderId="0" applyFill="0" applyBorder="0" applyAlignment="0"/>
    <xf numFmtId="236" fontId="113" fillId="0" borderId="0" applyFill="0" applyBorder="0" applyAlignment="0"/>
    <xf numFmtId="0" fontId="152" fillId="0" borderId="0" applyNumberFormat="0" applyFill="0" applyBorder="0" applyAlignment="0" applyProtection="0">
      <alignment vertical="center"/>
    </xf>
    <xf numFmtId="4" fontId="153" fillId="0" borderId="0" applyNumberFormat="0" applyFill="0" applyBorder="0">
      <alignment horizontal="center" vertical="center"/>
    </xf>
    <xf numFmtId="0" fontId="154" fillId="0" borderId="0"/>
    <xf numFmtId="230" fontId="42" fillId="0" borderId="0"/>
    <xf numFmtId="0" fontId="155" fillId="0" borderId="0"/>
    <xf numFmtId="237" fontId="31" fillId="0" borderId="0" applyFont="0" applyFill="0" applyBorder="0" applyAlignment="0" applyProtection="0"/>
    <xf numFmtId="222" fontId="31" fillId="0" borderId="0" applyFont="0" applyFill="0" applyBorder="0" applyAlignment="0" applyProtection="0"/>
    <xf numFmtId="0" fontId="156" fillId="0" borderId="0" applyNumberFormat="0" applyFill="0" applyBorder="0" applyAlignment="0" applyProtection="0"/>
    <xf numFmtId="0" fontId="89" fillId="73" borderId="31" applyNumberFormat="0" applyAlignment="0" applyProtection="0"/>
    <xf numFmtId="0" fontId="157" fillId="0" borderId="0" applyNumberFormat="0" applyFill="0" applyBorder="0" applyProtection="0">
      <alignment horizontal="right"/>
    </xf>
    <xf numFmtId="0" fontId="158" fillId="0" borderId="0">
      <alignment horizontal="left"/>
    </xf>
    <xf numFmtId="0" fontId="159" fillId="0" borderId="0"/>
    <xf numFmtId="221" fontId="42" fillId="0" borderId="0">
      <alignment horizontal="right" vertical="center"/>
    </xf>
    <xf numFmtId="0" fontId="160" fillId="0" borderId="0"/>
    <xf numFmtId="0" fontId="66" fillId="62" borderId="0" applyNumberFormat="0" applyBorder="0" applyAlignment="0" applyProtection="0">
      <alignment vertical="center"/>
    </xf>
    <xf numFmtId="0" fontId="66" fillId="66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65" borderId="0" applyNumberFormat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50" borderId="32" applyNumberFormat="0" applyAlignment="0" applyProtection="0">
      <alignment vertical="center"/>
    </xf>
    <xf numFmtId="2" fontId="163" fillId="0" borderId="0" applyFont="0" applyFill="0" applyBorder="0" applyAlignment="0" applyProtection="0"/>
    <xf numFmtId="0" fontId="164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238" fontId="43" fillId="0" borderId="16">
      <alignment horizontal="left" vertical="center"/>
    </xf>
    <xf numFmtId="0" fontId="166" fillId="60" borderId="0" applyNumberFormat="0" applyBorder="0" applyAlignment="0" applyProtection="0">
      <alignment vertical="center"/>
    </xf>
    <xf numFmtId="0" fontId="163" fillId="0" borderId="0" applyFont="0" applyFill="0" applyBorder="0" applyAlignment="0" applyProtection="0"/>
    <xf numFmtId="38" fontId="45" fillId="0" borderId="0">
      <alignment vertical="center"/>
    </xf>
    <xf numFmtId="3" fontId="33" fillId="0" borderId="33">
      <alignment vertical="center"/>
    </xf>
    <xf numFmtId="0" fontId="167" fillId="0" borderId="0" applyNumberFormat="0" applyFill="0" applyBorder="0" applyAlignment="0" applyProtection="0">
      <alignment vertical="top"/>
      <protection locked="0"/>
    </xf>
    <xf numFmtId="40" fontId="168" fillId="0" borderId="0" applyFont="0" applyFill="0" applyBorder="0" applyAlignment="0" applyProtection="0"/>
    <xf numFmtId="40" fontId="169" fillId="0" borderId="0" applyFont="0" applyFill="0" applyBorder="0" applyAlignment="0" applyProtection="0"/>
    <xf numFmtId="38" fontId="169" fillId="0" borderId="0" applyFont="0" applyFill="0" applyBorder="0" applyAlignment="0" applyProtection="0"/>
    <xf numFmtId="0" fontId="38" fillId="52" borderId="34" applyNumberFormat="0" applyFont="0" applyAlignment="0" applyProtection="0">
      <alignment vertical="center"/>
    </xf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239" fontId="171" fillId="0" borderId="0">
      <protection locked="0"/>
    </xf>
    <xf numFmtId="240" fontId="43" fillId="0" borderId="0">
      <protection locked="0"/>
    </xf>
    <xf numFmtId="0" fontId="43" fillId="0" borderId="0">
      <protection locked="0"/>
    </xf>
    <xf numFmtId="0" fontId="172" fillId="52" borderId="0" applyNumberFormat="0" applyBorder="0" applyAlignment="0" applyProtection="0">
      <alignment vertical="center"/>
    </xf>
    <xf numFmtId="0" fontId="173" fillId="0" borderId="0"/>
    <xf numFmtId="210" fontId="32" fillId="0" borderId="0" applyFont="0" applyFill="0" applyBorder="0" applyAlignment="0" applyProtection="0"/>
    <xf numFmtId="241" fontId="32" fillId="0" borderId="0" applyFont="0" applyFill="0" applyBorder="0" applyAlignment="0" applyProtection="0"/>
    <xf numFmtId="0" fontId="174" fillId="0" borderId="0" applyNumberFormat="0" applyFill="0" applyBorder="0" applyAlignment="0" applyProtection="0">
      <alignment vertical="center"/>
    </xf>
    <xf numFmtId="0" fontId="175" fillId="48" borderId="35" applyNumberFormat="0" applyAlignment="0" applyProtection="0">
      <alignment vertical="center"/>
    </xf>
    <xf numFmtId="235" fontId="176" fillId="52" borderId="36">
      <alignment vertical="center"/>
    </xf>
    <xf numFmtId="202" fontId="38" fillId="0" borderId="0" applyFont="0" applyFill="0" applyBorder="0" applyAlignment="0" applyProtection="0">
      <alignment vertical="center"/>
    </xf>
    <xf numFmtId="0" fontId="177" fillId="0" borderId="0" applyFont="0" applyFill="0" applyBorder="0" applyAlignment="0" applyProtection="0"/>
    <xf numFmtId="0" fontId="178" fillId="0" borderId="20"/>
    <xf numFmtId="242" fontId="179" fillId="0" borderId="37" applyBorder="0">
      <alignment horizontal="center" vertical="center"/>
    </xf>
    <xf numFmtId="0" fontId="180" fillId="0" borderId="38" applyNumberFormat="0" applyFill="0" applyAlignment="0" applyProtection="0">
      <alignment vertical="center"/>
    </xf>
    <xf numFmtId="0" fontId="181" fillId="0" borderId="0" applyNumberFormat="0" applyFill="0" applyBorder="0" applyAlignment="0" applyProtection="0">
      <alignment vertical="top"/>
      <protection locked="0"/>
    </xf>
    <xf numFmtId="0" fontId="182" fillId="0" borderId="39" applyNumberFormat="0" applyFill="0" applyAlignment="0" applyProtection="0">
      <alignment vertical="center"/>
    </xf>
    <xf numFmtId="0" fontId="183" fillId="51" borderId="32" applyNumberFormat="0" applyAlignment="0" applyProtection="0">
      <alignment vertical="center"/>
    </xf>
    <xf numFmtId="4" fontId="163" fillId="0" borderId="0" applyFont="0" applyFill="0" applyBorder="0" applyAlignment="0" applyProtection="0"/>
    <xf numFmtId="3" fontId="163" fillId="0" borderId="0" applyFont="0" applyFill="0" applyBorder="0" applyAlignment="0" applyProtection="0"/>
    <xf numFmtId="0" fontId="184" fillId="0" borderId="40" applyNumberFormat="0" applyFill="0" applyAlignment="0" applyProtection="0">
      <alignment vertical="center"/>
    </xf>
    <xf numFmtId="0" fontId="185" fillId="0" borderId="41" applyNumberFormat="0" applyFill="0" applyAlignment="0" applyProtection="0">
      <alignment vertical="center"/>
    </xf>
    <xf numFmtId="0" fontId="186" fillId="0" borderId="42" applyNumberFormat="0" applyFill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74" borderId="0" applyNumberFormat="0" applyBorder="0" applyAlignment="0" applyProtection="0">
      <alignment vertical="center"/>
    </xf>
    <xf numFmtId="0" fontId="188" fillId="0" borderId="16">
      <alignment horizontal="left" vertical="center" indent="1"/>
      <protection locked="0"/>
    </xf>
    <xf numFmtId="0" fontId="189" fillId="50" borderId="43" applyNumberFormat="0" applyAlignment="0" applyProtection="0">
      <alignment vertical="center"/>
    </xf>
    <xf numFmtId="202" fontId="62" fillId="0" borderId="0" applyFont="0" applyFill="0" applyBorder="0" applyAlignment="0" applyProtection="0"/>
    <xf numFmtId="38" fontId="32" fillId="0" borderId="0" applyFont="0" applyFill="0" applyBorder="0" applyAlignment="0" applyProtection="0"/>
    <xf numFmtId="180" fontId="62" fillId="0" borderId="0" applyFont="0" applyFill="0" applyBorder="0" applyAlignment="0" applyProtection="0"/>
    <xf numFmtId="40" fontId="32" fillId="0" borderId="0" applyFont="0" applyFill="0" applyBorder="0" applyAlignment="0" applyProtection="0"/>
    <xf numFmtId="3" fontId="32" fillId="0" borderId="16"/>
    <xf numFmtId="10" fontId="163" fillId="0" borderId="0" applyFont="0" applyFill="0" applyBorder="0" applyAlignment="0" applyProtection="0"/>
    <xf numFmtId="0" fontId="38" fillId="0" borderId="2" applyNumberFormat="0" applyFill="0">
      <alignment horizontal="center" vertical="center"/>
    </xf>
    <xf numFmtId="243" fontId="31" fillId="0" borderId="16">
      <alignment vertical="center"/>
    </xf>
    <xf numFmtId="0" fontId="1" fillId="0" borderId="0"/>
    <xf numFmtId="0" fontId="190" fillId="0" borderId="0"/>
    <xf numFmtId="0" fontId="64" fillId="0" borderId="0">
      <alignment vertical="center"/>
    </xf>
    <xf numFmtId="0" fontId="6" fillId="0" borderId="0" applyNumberFormat="0" applyFont="0" applyFill="0" applyBorder="0" applyAlignment="0" applyProtection="0">
      <alignment vertical="center"/>
    </xf>
    <xf numFmtId="244" fontId="38" fillId="0" borderId="0" applyNumberFormat="0" applyAlignment="0">
      <alignment horizontal="center"/>
    </xf>
    <xf numFmtId="202" fontId="191" fillId="0" borderId="0" applyFont="0" applyFill="0" applyBorder="0" applyAlignment="0" applyProtection="0"/>
    <xf numFmtId="180" fontId="191" fillId="0" borderId="0" applyFont="0" applyFill="0" applyBorder="0" applyAlignment="0" applyProtection="0"/>
    <xf numFmtId="0" fontId="192" fillId="0" borderId="0"/>
    <xf numFmtId="0" fontId="163" fillId="0" borderId="44" applyNumberFormat="0" applyFont="0" applyFill="0" applyAlignment="0" applyProtection="0"/>
    <xf numFmtId="0" fontId="33" fillId="0" borderId="0">
      <alignment vertical="center"/>
    </xf>
    <xf numFmtId="234" fontId="38" fillId="0" borderId="0" applyFont="0" applyFill="0" applyBorder="0" applyAlignment="0" applyProtection="0"/>
    <xf numFmtId="245" fontId="163" fillId="0" borderId="0" applyFont="0" applyFill="0" applyBorder="0" applyAlignment="0" applyProtection="0"/>
    <xf numFmtId="202" fontId="56" fillId="0" borderId="0" applyFont="0" applyFill="0" applyBorder="0" applyAlignment="0" applyProtection="0"/>
    <xf numFmtId="180" fontId="56" fillId="0" borderId="0" applyFont="0" applyFill="0" applyBorder="0" applyAlignment="0" applyProtection="0"/>
    <xf numFmtId="0" fontId="193" fillId="0" borderId="0"/>
    <xf numFmtId="246" fontId="56" fillId="0" borderId="0" applyFont="0" applyFill="0" applyBorder="0" applyAlignment="0" applyProtection="0"/>
    <xf numFmtId="194" fontId="35" fillId="0" borderId="0" applyFont="0" applyFill="0" applyBorder="0" applyAlignment="0" applyProtection="0"/>
    <xf numFmtId="247" fontId="56" fillId="0" borderId="0" applyFont="0" applyFill="0" applyBorder="0" applyAlignment="0" applyProtection="0"/>
  </cellStyleXfs>
  <cellXfs count="62">
    <xf numFmtId="0" fontId="0" fillId="0" borderId="0" xfId="0">
      <alignment vertical="center"/>
    </xf>
    <xf numFmtId="0" fontId="1" fillId="0" borderId="0" xfId="319">
      <alignment vertical="center"/>
    </xf>
    <xf numFmtId="0" fontId="1" fillId="0" borderId="0" xfId="319" applyFont="1" applyAlignment="1">
      <alignment horizontal="left" vertical="center"/>
    </xf>
    <xf numFmtId="0" fontId="2" fillId="0" borderId="0" xfId="319" applyFont="1">
      <alignment vertical="center"/>
    </xf>
    <xf numFmtId="0" fontId="3" fillId="2" borderId="1" xfId="319" applyFont="1" applyFill="1" applyBorder="1" applyAlignment="1">
      <alignment horizontal="center" vertical="center"/>
    </xf>
    <xf numFmtId="0" fontId="3" fillId="3" borderId="1" xfId="319" applyFont="1" applyFill="1" applyBorder="1" applyAlignment="1">
      <alignment horizontal="center" vertical="center"/>
    </xf>
    <xf numFmtId="0" fontId="4" fillId="4" borderId="2" xfId="319" applyFont="1" applyFill="1" applyBorder="1" applyAlignment="1">
      <alignment horizontal="center" vertical="center" wrapText="1"/>
    </xf>
    <xf numFmtId="0" fontId="4" fillId="5" borderId="2" xfId="319" applyFont="1" applyFill="1" applyBorder="1" applyAlignment="1">
      <alignment horizontal="center" vertical="center" wrapText="1"/>
    </xf>
    <xf numFmtId="0" fontId="4" fillId="6" borderId="2" xfId="319" applyFont="1" applyFill="1" applyBorder="1" applyAlignment="1">
      <alignment horizontal="center" vertical="center" wrapText="1"/>
    </xf>
    <xf numFmtId="0" fontId="5" fillId="7" borderId="2" xfId="319" applyFont="1" applyFill="1" applyBorder="1" applyAlignment="1">
      <alignment horizontal="center" vertical="center" wrapText="1"/>
    </xf>
    <xf numFmtId="0" fontId="5" fillId="8" borderId="2" xfId="319" applyFont="1" applyFill="1" applyBorder="1" applyAlignment="1">
      <alignment horizontal="center" vertical="center" wrapText="1"/>
    </xf>
    <xf numFmtId="0" fontId="5" fillId="9" borderId="2" xfId="319" applyFont="1" applyFill="1" applyBorder="1" applyAlignment="1">
      <alignment horizontal="center" vertical="center"/>
    </xf>
    <xf numFmtId="0" fontId="6" fillId="0" borderId="2" xfId="319" applyFont="1" applyBorder="1" applyAlignment="1">
      <alignment horizontal="center" vertical="center" wrapText="1"/>
    </xf>
    <xf numFmtId="0" fontId="6" fillId="0" borderId="2" xfId="319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319" applyFont="1" applyBorder="1" applyAlignment="1">
      <alignment horizontal="left" vertical="center"/>
    </xf>
    <xf numFmtId="0" fontId="7" fillId="10" borderId="2" xfId="319" applyFont="1" applyFill="1" applyBorder="1" applyAlignment="1">
      <alignment horizontal="center" vertical="center" wrapText="1"/>
    </xf>
    <xf numFmtId="0" fontId="7" fillId="0" borderId="2" xfId="319" applyFont="1" applyBorder="1" applyAlignment="1">
      <alignment horizontal="center" vertical="center" wrapText="1"/>
    </xf>
    <xf numFmtId="0" fontId="7" fillId="0" borderId="2" xfId="319" applyFont="1" applyBorder="1" applyAlignment="1">
      <alignment horizontal="left" vertical="center" wrapText="1"/>
    </xf>
    <xf numFmtId="0" fontId="2" fillId="0" borderId="2" xfId="319" applyFont="1" applyBorder="1" applyAlignment="1">
      <alignment horizontal="left" vertical="center" wrapText="1"/>
    </xf>
    <xf numFmtId="0" fontId="2" fillId="10" borderId="2" xfId="319" applyFont="1" applyFill="1" applyBorder="1">
      <alignment vertical="center"/>
    </xf>
    <xf numFmtId="0" fontId="2" fillId="0" borderId="2" xfId="319" applyFont="1" applyBorder="1">
      <alignment vertical="center"/>
    </xf>
    <xf numFmtId="0" fontId="6" fillId="0" borderId="2" xfId="319" applyFont="1" applyBorder="1" applyAlignment="1">
      <alignment horizontal="left" vertical="center" wrapText="1"/>
    </xf>
    <xf numFmtId="0" fontId="6" fillId="0" borderId="3" xfId="319" applyFont="1" applyBorder="1" applyAlignment="1">
      <alignment horizontal="center" vertical="center" wrapText="1"/>
    </xf>
    <xf numFmtId="0" fontId="6" fillId="0" borderId="3" xfId="319" applyFont="1" applyBorder="1" applyAlignment="1">
      <alignment horizontal="center" vertical="center"/>
    </xf>
    <xf numFmtId="0" fontId="6" fillId="0" borderId="3" xfId="319" applyFont="1" applyBorder="1" applyAlignment="1">
      <alignment horizontal="left" vertical="center"/>
    </xf>
    <xf numFmtId="0" fontId="7" fillId="0" borderId="3" xfId="319" applyFont="1" applyBorder="1" applyAlignment="1">
      <alignment horizontal="center" vertical="center" wrapText="1"/>
    </xf>
    <xf numFmtId="0" fontId="2" fillId="10" borderId="3" xfId="319" applyFont="1" applyFill="1" applyBorder="1" applyAlignment="1">
      <alignment horizontal="left" vertical="top" wrapText="1"/>
    </xf>
    <xf numFmtId="0" fontId="7" fillId="0" borderId="3" xfId="319" applyFont="1" applyBorder="1" applyAlignment="1">
      <alignment horizontal="left" vertical="center" wrapText="1"/>
    </xf>
    <xf numFmtId="0" fontId="2" fillId="0" borderId="3" xfId="319" applyFont="1" applyBorder="1" applyAlignment="1">
      <alignment horizontal="left" vertical="center" wrapText="1"/>
    </xf>
    <xf numFmtId="0" fontId="2" fillId="10" borderId="3" xfId="319" applyFont="1" applyFill="1" applyBorder="1" applyAlignment="1">
      <alignment horizontal="left" vertical="center" wrapText="1"/>
    </xf>
    <xf numFmtId="0" fontId="6" fillId="0" borderId="3" xfId="319" applyFont="1" applyBorder="1" applyAlignment="1">
      <alignment horizontal="left" vertical="center" wrapText="1"/>
    </xf>
    <xf numFmtId="0" fontId="2" fillId="0" borderId="2" xfId="319" applyFont="1" applyBorder="1" applyAlignment="1">
      <alignment vertical="center" wrapText="1"/>
    </xf>
    <xf numFmtId="0" fontId="8" fillId="0" borderId="2" xfId="322" applyFont="1" applyBorder="1" applyAlignment="1">
      <alignment vertical="center" wrapText="1"/>
    </xf>
    <xf numFmtId="0" fontId="6" fillId="10" borderId="3" xfId="319" applyFont="1" applyFill="1" applyBorder="1" applyAlignment="1">
      <alignment horizontal="left" vertical="center"/>
    </xf>
    <xf numFmtId="0" fontId="7" fillId="10" borderId="3" xfId="319" applyFont="1" applyFill="1" applyBorder="1" applyAlignment="1">
      <alignment horizontal="center" vertical="center" wrapText="1"/>
    </xf>
    <xf numFmtId="0" fontId="6" fillId="10" borderId="3" xfId="319" applyFont="1" applyFill="1" applyBorder="1" applyAlignment="1">
      <alignment horizontal="left" vertical="center" wrapText="1"/>
    </xf>
    <xf numFmtId="0" fontId="2" fillId="10" borderId="2" xfId="319" applyFont="1" applyFill="1" applyBorder="1" applyAlignment="1">
      <alignment horizontal="left" vertical="center" wrapText="1"/>
    </xf>
    <xf numFmtId="0" fontId="2" fillId="10" borderId="2" xfId="319" applyFont="1" applyFill="1" applyBorder="1" applyAlignment="1">
      <alignment vertical="center" wrapText="1"/>
    </xf>
    <xf numFmtId="0" fontId="2" fillId="10" borderId="2" xfId="319" applyFont="1" applyFill="1" applyBorder="1" applyAlignment="1">
      <alignment horizontal="left" vertical="center"/>
    </xf>
    <xf numFmtId="0" fontId="9" fillId="0" borderId="2" xfId="319" applyFont="1" applyBorder="1">
      <alignment vertical="center"/>
    </xf>
    <xf numFmtId="0" fontId="6" fillId="10" borderId="2" xfId="319" applyFont="1" applyFill="1" applyBorder="1" applyAlignment="1">
      <alignment horizontal="left" vertical="center" wrapText="1"/>
    </xf>
    <xf numFmtId="0" fontId="6" fillId="10" borderId="4" xfId="319" applyFont="1" applyFill="1" applyBorder="1" applyAlignment="1">
      <alignment horizontal="left" vertical="center"/>
    </xf>
    <xf numFmtId="0" fontId="2" fillId="10" borderId="3" xfId="319" applyFont="1" applyFill="1" applyBorder="1" applyAlignment="1">
      <alignment horizontal="left" vertical="center"/>
    </xf>
    <xf numFmtId="0" fontId="2" fillId="10" borderId="2" xfId="319" applyFont="1" applyFill="1" applyBorder="1" applyAlignment="1">
      <alignment vertical="top" wrapText="1"/>
    </xf>
    <xf numFmtId="0" fontId="6" fillId="0" borderId="2" xfId="320" applyFont="1" applyBorder="1" applyAlignment="1">
      <alignment horizontal="left" vertical="center" wrapText="1"/>
    </xf>
    <xf numFmtId="0" fontId="7" fillId="0" borderId="2" xfId="320" applyFont="1" applyBorder="1" applyAlignment="1">
      <alignment horizontal="center" vertical="center" wrapText="1"/>
    </xf>
    <xf numFmtId="0" fontId="7" fillId="0" borderId="3" xfId="320" applyFont="1" applyBorder="1" applyAlignment="1">
      <alignment horizontal="center" vertical="center" wrapText="1"/>
    </xf>
    <xf numFmtId="0" fontId="6" fillId="0" borderId="3" xfId="320" applyFont="1" applyBorder="1" applyAlignment="1">
      <alignment horizontal="left" vertical="center" wrapText="1"/>
    </xf>
    <xf numFmtId="0" fontId="6" fillId="10" borderId="2" xfId="319" applyFont="1" applyFill="1" applyBorder="1" applyAlignment="1">
      <alignment horizontal="center" vertical="center" wrapText="1"/>
    </xf>
    <xf numFmtId="0" fontId="6" fillId="10" borderId="2" xfId="319" applyFont="1" applyFill="1" applyBorder="1" applyAlignment="1">
      <alignment horizontal="center" vertical="center"/>
    </xf>
    <xf numFmtId="0" fontId="6" fillId="11" borderId="3" xfId="319" applyFont="1" applyFill="1" applyBorder="1" applyAlignment="1">
      <alignment horizontal="left" vertical="center"/>
    </xf>
    <xf numFmtId="0" fontId="7" fillId="11" borderId="2" xfId="0" applyFont="1" applyFill="1" applyBorder="1" applyAlignment="1">
      <alignment horizontal="center" vertical="top"/>
    </xf>
    <xf numFmtId="0" fontId="7" fillId="11" borderId="2" xfId="319" applyFont="1" applyFill="1" applyBorder="1" applyAlignment="1">
      <alignment horizontal="center" vertical="center" wrapText="1"/>
    </xf>
    <xf numFmtId="0" fontId="7" fillId="11" borderId="3" xfId="319" applyFont="1" applyFill="1" applyBorder="1" applyAlignment="1">
      <alignment horizontal="center" vertical="center" wrapText="1"/>
    </xf>
    <xf numFmtId="0" fontId="6" fillId="12" borderId="3" xfId="319" applyFont="1" applyFill="1" applyBorder="1" applyAlignment="1">
      <alignment horizontal="left" vertical="center" wrapText="1"/>
    </xf>
    <xf numFmtId="0" fontId="2" fillId="12" borderId="2" xfId="319" applyFont="1" applyFill="1" applyBorder="1" applyAlignment="1">
      <alignment horizontal="left" vertical="center" wrapText="1"/>
    </xf>
    <xf numFmtId="0" fontId="2" fillId="12" borderId="2" xfId="319" applyFont="1" applyFill="1" applyBorder="1">
      <alignment vertical="center"/>
    </xf>
    <xf numFmtId="0" fontId="10" fillId="13" borderId="2" xfId="319" applyFont="1" applyFill="1" applyBorder="1">
      <alignment vertical="center"/>
    </xf>
    <xf numFmtId="0" fontId="1" fillId="13" borderId="2" xfId="319" applyFill="1" applyBorder="1">
      <alignment vertical="center"/>
    </xf>
    <xf numFmtId="0" fontId="10" fillId="13" borderId="0" xfId="319" applyFont="1" applyFill="1">
      <alignment vertical="center"/>
    </xf>
    <xf numFmtId="0" fontId="1" fillId="0" borderId="0" xfId="319" applyFont="1">
      <alignment vertical="center"/>
    </xf>
  </cellXfs>
  <cellStyles count="4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         _x000d__x000a_386grabber=vga.3gr_x000d__x000a_" xfId="49"/>
    <cellStyle name="          _x000d__x000a_mouse.drv=lmouse.drv" xfId="50"/>
    <cellStyle name=" FY96" xfId="51"/>
    <cellStyle name="_x0011__x000a__x0006__x0006__x0012_" xfId="52"/>
    <cellStyle name="#,##0" xfId="53"/>
    <cellStyle name="#.0" xfId="54"/>
    <cellStyle name="&amp;A" xfId="55"/>
    <cellStyle name="(0)" xfId="56"/>
    <cellStyle name="(1)" xfId="57"/>
    <cellStyle name="?? [0]_?????" xfId="58"/>
    <cellStyle name="??_x000c_蕓&quot;_x000d_婦U_x0001_&quot;_x0004_?" xfId="59"/>
    <cellStyle name="??&amp;O?&amp;" xfId="60"/>
    <cellStyle name="??&amp;O?&amp;H?_x0008_?" xfId="61"/>
    <cellStyle name="???? [0.00]_PRODUCT DETAIL Q1can " xfId="62"/>
    <cellStyle name="????_PRODUCT DETAIL Q1TAIL" xfId="63"/>
    <cellStyle name="???Ø_PRCPOSITION J-100 " xfId="64"/>
    <cellStyle name="??_ALGERIA MEETING" xfId="65"/>
    <cellStyle name="?Ⅱ_x001b__x0005_@?" xfId="66"/>
    <cellStyle name="_(3)개발일정" xfId="67"/>
    <cellStyle name="_~3796196" xfId="68"/>
    <cellStyle name="_~att0711" xfId="69"/>
    <cellStyle name="_~att3809" xfId="70"/>
    <cellStyle name="_~att3A2F_A100PREPROTO일정7월18일" xfId="71"/>
    <cellStyle name="_~att3A2F_A100선행투자비(4월)_시작팀(총괄)" xfId="72"/>
    <cellStyle name="_01_04년 원가절감 방안 검토_031008" xfId="73"/>
    <cellStyle name="_01MY개발계획서(FULL)" xfId="74"/>
    <cellStyle name="_030603사업부 재료비 절감실적 보고_1" xfId="75"/>
    <cellStyle name="_04MY예산편성표(021209-상품팀 송부용)" xfId="76"/>
    <cellStyle name="_2007년 상반기 교육대상자 신청_마운팅_컨트롤" xfId="77"/>
    <cellStyle name="_4M200_Guide(PPcar sch)" xfId="78"/>
    <cellStyle name="_Column1" xfId="79"/>
    <cellStyle name="_Column2" xfId="80"/>
    <cellStyle name="_Column3" xfId="81"/>
    <cellStyle name="_Column4" xfId="82"/>
    <cellStyle name="_Column5" xfId="83"/>
    <cellStyle name="_Column6" xfId="84"/>
    <cellStyle name="_Column7" xfId="85"/>
    <cellStyle name="_Data" xfId="86"/>
    <cellStyle name="_Data_04_0630_final_calculation_revised_quotation_fro_pride_e3" xfId="87"/>
    <cellStyle name="_Data_Kalk_gwb_alea" xfId="88"/>
    <cellStyle name="_Data_Kalk_gwb_alea_calc_LU Servo_17.01.03_v0.5" xfId="89"/>
    <cellStyle name="_Header" xfId="90"/>
    <cellStyle name="_Header_Kalk_gwb_alea" xfId="91"/>
    <cellStyle name="_업무분장안0427" xfId="92"/>
    <cellStyle name="_업무분장안0427_1" xfId="93"/>
    <cellStyle name="_업무분장안0427_2" xfId="94"/>
    <cellStyle name="_업무분장안0427_3" xfId="95"/>
    <cellStyle name="_업무분장안0427_4" xfId="96"/>
    <cellStyle name="_업무분장안0427_4_Book1" xfId="97"/>
    <cellStyle name="_업무분장안0427_5" xfId="98"/>
    <cellStyle name="_조사양식-PCB(1)" xfId="99"/>
    <cellStyle name="_중장기전략신2" xfId="100"/>
    <cellStyle name="_파키스탄 수정 LAY OUT" xfId="101"/>
    <cellStyle name="¤@?e_TEST-1 " xfId="102"/>
    <cellStyle name="»õ±Ò[0]_laroux" xfId="103"/>
    <cellStyle name="»õ±Ò_1000A UNIX" xfId="104"/>
    <cellStyle name="°iA¤Aa·A1_10¿u2WA¸ºI " xfId="105"/>
    <cellStyle name="°iA¤Aa·A2_10¿u2WA¸ºI " xfId="106"/>
    <cellStyle name="•\Ž¦Ï‚Ý‚ÌƒnƒCƒp[ƒŠƒ“ƒN" xfId="107"/>
    <cellStyle name="æØè [0.00]_PRODUCT DETAIL Q1" xfId="108"/>
    <cellStyle name="æØè_PRODUCT DETAIL Q1" xfId="109"/>
    <cellStyle name="0" xfId="110"/>
    <cellStyle name="1" xfId="111"/>
    <cellStyle name="1_00_01년팀별재료비개선목표1안" xfId="112"/>
    <cellStyle name="1_1127PHM (2)" xfId="113"/>
    <cellStyle name="1_사업계획2001" xfId="114"/>
    <cellStyle name="120" xfId="115"/>
    <cellStyle name="¹eºÐA²_±aA¸" xfId="116"/>
    <cellStyle name="20% - 강조색1 2" xfId="117"/>
    <cellStyle name="20% - 강조색2 2" xfId="118"/>
    <cellStyle name="20% - 강조색3 2" xfId="119"/>
    <cellStyle name="20% - 강조색5 2" xfId="120"/>
    <cellStyle name="32" xfId="121"/>
    <cellStyle name="40% - 강조색1 2" xfId="122"/>
    <cellStyle name="40% - 강조색5 2" xfId="123"/>
    <cellStyle name="60% - 강조색1 2" xfId="124"/>
    <cellStyle name="60% - 강조색2 2" xfId="125"/>
    <cellStyle name="60% - 강조색3 2" xfId="126"/>
    <cellStyle name="60% - 강조색4 2" xfId="127"/>
    <cellStyle name="60% - 강조색5 2" xfId="128"/>
    <cellStyle name="95262" xfId="129"/>
    <cellStyle name="A¡§¡ⓒ¡E¡þ¡EO [0]_￠R¨¡¨I￠RAi￠RicAc￠R¨¡i " xfId="130"/>
    <cellStyle name="A¨­￠￢￠O [0]_          " xfId="131"/>
    <cellStyle name="A¨­¢¬¢Ò [0]_M105CDT " xfId="132"/>
    <cellStyle name="A￠R¡×￠R¨I￠RE￠Rⓒ­￠REO [0]_¡ER¡§￠R¡§I¡ERAi¡ERicAc¡ER¡§￠Ri " xfId="133"/>
    <cellStyle name="ac" xfId="134"/>
    <cellStyle name="ÅëÈ­ [0]_¡Ú¾ÈÜ¬ Á¾ÇÕºñ±³ " xfId="135"/>
    <cellStyle name="ÅëÈ­ [0]_´Ü°èº° ±¸Ãà¾È" xfId="136"/>
    <cellStyle name="AeE­ [0]_´U°eº°¾÷¹≪" xfId="137"/>
    <cellStyle name="ÅëÈ­ [0]_¿ù°£" xfId="138"/>
    <cellStyle name="AeE­ [0]_±OA¤C￥Ao" xfId="139"/>
    <cellStyle name="ÅëÈ­ [0]_±ÔÁ¤Ç¥Áö" xfId="140"/>
    <cellStyle name="AeE­ [0]_≫cA?¾c½A" xfId="141"/>
    <cellStyle name="ÅëÈ­ [0]_¼­½ÄÃ¼°è" xfId="142"/>
    <cellStyle name="AeE­ [0]_¼­½AA¼01" xfId="143"/>
    <cellStyle name="AeE­ [0]_¼oAOCaA¤½A≫o " xfId="144"/>
    <cellStyle name="ÅëÈ­ [0]_¾ç½Ä1" xfId="145"/>
    <cellStyle name="AeE­ [0]_¾c½A2" xfId="146"/>
    <cellStyle name="AeE­ [0]_1 (2)" xfId="147"/>
    <cellStyle name="ÅëÈ­ [0]_1 (2)" xfId="148"/>
    <cellStyle name="ÅëÈ­ [0]_4 " xfId="149"/>
    <cellStyle name="AeE­ [0]_96°eE¹ " xfId="150"/>
    <cellStyle name="ÅëÈ­ [0]_96°èÈ¹ " xfId="151"/>
    <cellStyle name="AeE­ [0]_96°eE¹ _02년우수개선사례(업무팀 통보)(1)" xfId="152"/>
    <cellStyle name="ÅëÈ­ [0]_À¯Çüº°ÀüÃ¼(¿ï»ê°øÀå)  " xfId="153"/>
    <cellStyle name="AeE­ [0]_Cu±a" xfId="154"/>
    <cellStyle name="AeE­ [0]_CuA¶Au" xfId="155"/>
    <cellStyle name="AeE­ [0]_PERSONAL" xfId="156"/>
    <cellStyle name="AeE­ [0]_Sheet8" xfId="157"/>
    <cellStyle name="ÅëÈ­_´Ü°èº° ±¸Ãà¾È" xfId="158"/>
    <cellStyle name="AeE­_´U°eº°¾÷¹≪" xfId="159"/>
    <cellStyle name="AeE­_¿i¿μ¾E " xfId="160"/>
    <cellStyle name="ÅëÈ­_¿ù°£" xfId="161"/>
    <cellStyle name="AeE­_±OA¤C￥Ao" xfId="162"/>
    <cellStyle name="ÅëÈ­_±ÔÁ¤Ç¥Áö" xfId="163"/>
    <cellStyle name="AeE­_≫cA?¾c½A" xfId="164"/>
    <cellStyle name="ÅëÈ­_¼­½ÄÃ¼°è" xfId="165"/>
    <cellStyle name="AeE­_¼­½AA¼01" xfId="166"/>
    <cellStyle name="ÅëÈ­_¾ç½Ä1" xfId="167"/>
    <cellStyle name="AeE­_¾c½A2" xfId="168"/>
    <cellStyle name="AeE­_1 (2)" xfId="169"/>
    <cellStyle name="ÅëÈ­_1 (2)" xfId="170"/>
    <cellStyle name="AeE­_96°eE¹ _02년우수개선사례(업무팀 통보)(1)" xfId="171"/>
    <cellStyle name="AeE­_Cu±a" xfId="172"/>
    <cellStyle name="AeE­_CuA¶Au" xfId="173"/>
    <cellStyle name="AeE­_PERSONAL" xfId="174"/>
    <cellStyle name="AeE­_Sheet8" xfId="175"/>
    <cellStyle name="ALIGNMENT" xfId="176"/>
    <cellStyle name="args.style" xfId="177"/>
    <cellStyle name="ÄÞ¸¶ [0]_´Ü°èº° ±¸Ãà¾È" xfId="178"/>
    <cellStyle name="AÞ¸¶ [0]_´U°eº°¾÷¹≪" xfId="179"/>
    <cellStyle name="ÄÞ¸¶ [0]_¸í¼¼Ç¥ " xfId="180"/>
    <cellStyle name="ÄÞ¸¶ [0]_¿ù°£" xfId="181"/>
    <cellStyle name="AÞ¸¶ [0]_±OA¤C￥Ao" xfId="182"/>
    <cellStyle name="ÄÞ¸¶ [0]_±ÔÁ¤Ç¥Áö" xfId="183"/>
    <cellStyle name="AÞ¸¶ [0]_≫cA?¾c½A" xfId="184"/>
    <cellStyle name="ÄÞ¸¶ [0]_¼­½ÄÃ¼°è" xfId="185"/>
    <cellStyle name="AÞ¸¶ [0]_¼­½AAI¶÷" xfId="186"/>
    <cellStyle name="ÄÞ¸¶ [0]_¼­½ÄÀÏ¶÷" xfId="187"/>
    <cellStyle name="AÞ¸¶ [0]_1 (2)" xfId="188"/>
    <cellStyle name="ÄÞ¸¶ [0]_1 (2)" xfId="189"/>
    <cellStyle name="ÄÞ¸¶ [0]_1-3¿ù " xfId="190"/>
    <cellStyle name="AÞ¸¶ [0]_3¿u´ⓒ°e " xfId="191"/>
    <cellStyle name="ÄÞ¸¶ [0]_9" xfId="192"/>
    <cellStyle name="AÞ¸¶ [0]_96°eE¹ " xfId="193"/>
    <cellStyle name="ÄÞ¸¶ [0]_96°èÈ¹ " xfId="194"/>
    <cellStyle name="AÞ¸¶ [0]_A÷A¼¼³°e " xfId="195"/>
    <cellStyle name="AÞ¸¶ [0]_Cu±a" xfId="196"/>
    <cellStyle name="AÞ¸¶ [0]_Sheet8" xfId="197"/>
    <cellStyle name="AÞ¸¶,_x0005__x0014_" xfId="198"/>
    <cellStyle name="ÄÞ¸¶_´Ü°èº° ±¸Ãà¾È" xfId="199"/>
    <cellStyle name="AÞ¸¶_´U°eº°¾÷¹≪" xfId="200"/>
    <cellStyle name="ÄÞ¸¶_¿ù°£" xfId="201"/>
    <cellStyle name="AÞ¸¶_±OA¤C￥Ao" xfId="202"/>
    <cellStyle name="ÄÞ¸¶_±ÔÁ¤Ç¥Áö" xfId="203"/>
    <cellStyle name="AÞ¸¶_≫cA?¾c½A" xfId="204"/>
    <cellStyle name="ÄÞ¸¶_¼­½ÄÃ¼°è" xfId="205"/>
    <cellStyle name="AÞ¸¶_¼­½AAI¶÷" xfId="206"/>
    <cellStyle name="ÄÞ¸¶_¼­½ÄÀÏ¶÷" xfId="207"/>
    <cellStyle name="AÞ¸¶_1 (2)" xfId="208"/>
    <cellStyle name="ÄÞ¸¶_1 (2)" xfId="209"/>
    <cellStyle name="ÄÞ¸¶_9" xfId="210"/>
    <cellStyle name="AÞ¸¶_96°eE¹ " xfId="211"/>
    <cellStyle name="ÄÞ¸¶_96°èÈ¹ " xfId="212"/>
    <cellStyle name="AÞ¸¶_Cu±a" xfId="213"/>
    <cellStyle name="AÞ¸¶_Sheet8" xfId="214"/>
    <cellStyle name="BC형구비조사서" xfId="215"/>
    <cellStyle name="Bereichs-Summen/Swiss(12)/FETT/HG-d" xfId="216"/>
    <cellStyle name="bez" xfId="217"/>
    <cellStyle name="Blattüberschrift/Swiss(16)/FETT" xfId="218"/>
    <cellStyle name="Body" xfId="219"/>
    <cellStyle name="Bold" xfId="220"/>
    <cellStyle name="Box" xfId="221"/>
    <cellStyle name="BuiltOpt_Content" xfId="222"/>
    <cellStyle name="C_TITLE" xfId="223"/>
    <cellStyle name="C¡ERIA￠R¡×¡§¡I_¡ER¡§￠R¡§I¡ERAi¡ERicAc¡ER¡§￠Ri " xfId="224"/>
    <cellStyle name="C¡IA¨ª_          " xfId="225"/>
    <cellStyle name="C¡ÍA¨ª_C¡¿¢¬n¢¯u¨¬n¢¯e " xfId="226"/>
    <cellStyle name="C￠RIA¡§¨￡_￠R¨¡¨I￠RAi￠RicAc￠R¨¡i " xfId="227"/>
    <cellStyle name="Ç¥ÁØ_¡ßFO ÅõÀÚºñºñ±³ " xfId="228"/>
    <cellStyle name="C￥AØ_¡ßFO AoAUºnºn±³ _`04.내실관리 집계양식(5개)(개선전파,의식혁신)" xfId="229"/>
    <cellStyle name="C￥AØ_¸i´U" xfId="230"/>
    <cellStyle name="Ç¥ÁØ_¸ñÂ÷ " xfId="231"/>
    <cellStyle name="C￥AØ_¸nA÷ (2)" xfId="232"/>
    <cellStyle name="Ç¥ÁØ_¸ñÂ÷ _090511_RB ACU 코딩 코드 정보 자료" xfId="233"/>
    <cellStyle name="Ç¥ÁØ_¿ø´ÜÀ§ " xfId="234"/>
    <cellStyle name="C￥AØ_±aAØ _예상물량_05년10월이후분" xfId="235"/>
    <cellStyle name="Ç¥ÁØ_±ÔÁ¤Ç¥Áö" xfId="236"/>
    <cellStyle name="C￥AØ_±OA¤C￥Ao_비교원가" xfId="237"/>
    <cellStyle name="Ç¥ÁØ_»çÀ¯¾ç½Ä" xfId="238"/>
    <cellStyle name="Ç¥ÁØ_°³¹ßÀÏÁ¤ " xfId="239"/>
    <cellStyle name="C￥AØ_°³¹ßAIA¤  (2)_°³¹ßAIA¤ " xfId="240"/>
    <cellStyle name="C￥AØ_°³¹ßAIA¤  (2)_°³¹ßAIA¤ _041012후06시_9월 H7PM5390(정리)" xfId="241"/>
    <cellStyle name="Ç¥ÁØ_°³¹ßÀÏÁ¤  (2)_°³¹ßÀÏÁ¤ _041012후06시_9월 H7PM5390(정리)" xfId="242"/>
    <cellStyle name="Ç¥ÁØ_10+10 _CONT_MPI_CVVT_옵션계산" xfId="243"/>
    <cellStyle name="C￥AØ_2¿uA¶¸³ " xfId="244"/>
    <cellStyle name="Ç¥ÁØ_3.MSCHEDULE¿µ¹® " xfId="245"/>
    <cellStyle name="Ç¥ÁØ_5-4 INDIRECT EP" xfId="246"/>
    <cellStyle name="Ç¥ÁØ_Á¶Á÷µµ(12.31) " xfId="247"/>
    <cellStyle name="C￥AØ_A¶A÷μμ(12.31) " xfId="248"/>
    <cellStyle name="Ç¥ÁØ_Ã·ºÎ2 " xfId="249"/>
    <cellStyle name="C￥AØ_A·ºI2 _HR 집행예산 편성(020612)(1)" xfId="250"/>
    <cellStyle name="Ç¥ÁØ_Ã·ºÎ2 _HR 집행예산 편성(020612)(1)" xfId="251"/>
    <cellStyle name="C￥AØ_A1A¤A¡ " xfId="252"/>
    <cellStyle name="C￥AØ_Aß±a≫y≫e°eE¹ " xfId="253"/>
    <cellStyle name="Ç¥ÁØ_BRK¿ø´Ü.XLS " xfId="254"/>
    <cellStyle name="C￥AØ_C￥2_¿ø´UA§ " xfId="255"/>
    <cellStyle name="Ç¥ÁØ_Ç¥2_¿ø´ÜÀ§ " xfId="256"/>
    <cellStyle name="C￥AØ_CuA¶Au_1_10¿u2WA¸ºI " xfId="257"/>
    <cellStyle name="C￥AØ_CuA¶Au_96°eE¹ _CONT_MPI_CVVT_옵션계산" xfId="258"/>
    <cellStyle name="Ç¥ÁØ_ÇùÁ¶Àü_96°èÈ¹ _CONT_MPI_CVVT_옵션계산" xfId="259"/>
    <cellStyle name="C￥AØ_SMG-CKD-d1.1 " xfId="260"/>
    <cellStyle name="Ç§Î»[0]_laroux" xfId="261"/>
    <cellStyle name="Ç§Î»_laroux" xfId="262"/>
    <cellStyle name="Calc Currency (0)" xfId="263"/>
    <cellStyle name="Calc Units (2)" xfId="264"/>
    <cellStyle name="category" xfId="265"/>
    <cellStyle name="Checkbox" xfId="266"/>
    <cellStyle name="CombinedVol_Data" xfId="267"/>
    <cellStyle name="Comma  - Style1" xfId="268"/>
    <cellStyle name="Comma [00]" xfId="269"/>
    <cellStyle name="comma zerodec" xfId="270"/>
    <cellStyle name="Cur?ncy [0]_QTR94_95_97회비_사업부제품광고제외 (2)_11요식 " xfId="271"/>
    <cellStyle name="Currency $" xfId="272"/>
    <cellStyle name="Currency [00]" xfId="273"/>
    <cellStyle name="Currency[2]" xfId="274"/>
    <cellStyle name="Currency1" xfId="275"/>
    <cellStyle name="custom" xfId="276"/>
    <cellStyle name="Cycle Plan" xfId="277"/>
    <cellStyle name="Date" xfId="278"/>
    <cellStyle name="Date Short" xfId="279"/>
    <cellStyle name="Dezimal [0]_1 LP ( bis 10 ZK ) " xfId="280"/>
    <cellStyle name="Dezimal(0,0)" xfId="281"/>
    <cellStyle name="E­Æo±aE￡_¿￡AøºI " xfId="282"/>
    <cellStyle name="Edited_Data" xfId="283"/>
    <cellStyle name="Eingabetext" xfId="284"/>
    <cellStyle name="Enter Currency (0)" xfId="285"/>
    <cellStyle name="Enter Units (1)" xfId="286"/>
    <cellStyle name="entsperrt" xfId="287"/>
    <cellStyle name="Estimated_Data" xfId="288"/>
    <cellStyle name="Euro" xfId="289"/>
    <cellStyle name="Ezres [0]__AbsatzBudapest" xfId="290"/>
    <cellStyle name="Ezres__AbsatzBudapest" xfId="291"/>
    <cellStyle name="ƒnƒCƒp[ƒŠƒ“ƒN" xfId="292"/>
    <cellStyle name="Forecast_Data" xfId="293"/>
    <cellStyle name="Formeltext" xfId="294"/>
    <cellStyle name="gesperrt" xfId="295"/>
    <cellStyle name="Grey" xfId="296"/>
    <cellStyle name="HEADER" xfId="297"/>
    <cellStyle name="Header1" xfId="298"/>
    <cellStyle name="Header2" xfId="299"/>
    <cellStyle name="Hiperhivatkozás" xfId="300"/>
    <cellStyle name="Input [yellow]" xfId="301"/>
    <cellStyle name="Item_Current" xfId="302"/>
    <cellStyle name="Komma [0]_Aanvragen 1999" xfId="303"/>
    <cellStyle name="Komma_Aanvragen 1999" xfId="304"/>
    <cellStyle name="Labeltext" xfId="305"/>
    <cellStyle name="Labeltext fett" xfId="306"/>
    <cellStyle name="Logo" xfId="307"/>
    <cellStyle name="Már látott hiperhivatkozás" xfId="308"/>
    <cellStyle name="Mengenger・t1" xfId="309"/>
    <cellStyle name="meny_laroux" xfId="310"/>
    <cellStyle name="Model" xfId="311"/>
    <cellStyle name="Moneda [0]_ABS" xfId="312"/>
    <cellStyle name="Moneda_ABS" xfId="313"/>
    <cellStyle name="Monétaire [0]_!!!GO" xfId="314"/>
    <cellStyle name="Monétaire_!!!GO" xfId="315"/>
    <cellStyle name="no dec" xfId="316"/>
    <cellStyle name="Normal - Style1" xfId="317"/>
    <cellStyle name="Normal 00" xfId="318"/>
    <cellStyle name="Normal 27" xfId="319"/>
    <cellStyle name="Normal 27 2" xfId="320"/>
    <cellStyle name="Normal 35" xfId="321"/>
    <cellStyle name="Normal 5" xfId="322"/>
    <cellStyle name="normální_laroux" xfId="323"/>
    <cellStyle name="Normal像?154KV 최종Nego 95.5.3" xfId="324"/>
    <cellStyle name="Œ…‹æØ‚è [0.00]_!!!GO" xfId="325"/>
    <cellStyle name="Œ…‹æØ‚è_!!!GO" xfId="326"/>
    <cellStyle name="Ongedefinieerd" xfId="327"/>
    <cellStyle name="Pénznem [0]__AbsatzBudapest" xfId="328"/>
    <cellStyle name="Pénznem__AbsatzBudapest" xfId="329"/>
    <cellStyle name="per.style" xfId="330"/>
    <cellStyle name="Percent [0]" xfId="331"/>
    <cellStyle name="Percent [00]" xfId="332"/>
    <cellStyle name="Percent [2]" xfId="333"/>
    <cellStyle name="Percent[0]" xfId="334"/>
    <cellStyle name="Percent[2]" xfId="335"/>
    <cellStyle name="Portwich" xfId="336"/>
    <cellStyle name="Preliminary_Data" xfId="337"/>
    <cellStyle name="Prices_Data" xfId="338"/>
    <cellStyle name="PSChar" xfId="339"/>
    <cellStyle name="PSDate" xfId="340"/>
    <cellStyle name="PSDec" xfId="341"/>
    <cellStyle name="PSHeading" xfId="342"/>
    <cellStyle name="PSInt" xfId="343"/>
    <cellStyle name="PSSpacer" xfId="344"/>
    <cellStyle name="SAPBEXaggData" xfId="345"/>
    <cellStyle name="SAPBEXaggDataEmph" xfId="346"/>
    <cellStyle name="SAPBEXaggItem" xfId="347"/>
    <cellStyle name="SAPBEXaggItemX" xfId="348"/>
    <cellStyle name="SAPBEXchaText" xfId="349"/>
    <cellStyle name="SAPBEXexcBad7" xfId="350"/>
    <cellStyle name="SAPBEXexcBad8" xfId="351"/>
    <cellStyle name="SAPBEXexcBad9" xfId="352"/>
    <cellStyle name="SAPBEXexcCritical4" xfId="353"/>
    <cellStyle name="SAPBEXexcCritical5" xfId="354"/>
    <cellStyle name="SAPBEXexcCritical6" xfId="355"/>
    <cellStyle name="SAPBEXexcGood1" xfId="356"/>
    <cellStyle name="SAPBEXexcGood2" xfId="357"/>
    <cellStyle name="SAPBEXexcGood3" xfId="358"/>
    <cellStyle name="SAPBEXfilterDrill" xfId="359"/>
    <cellStyle name="SAPBEXfilterItem" xfId="360"/>
    <cellStyle name="SAPBEXfilterText" xfId="361"/>
    <cellStyle name="SAPBEXformats" xfId="362"/>
    <cellStyle name="SAPBEXheaderItem" xfId="363"/>
    <cellStyle name="SAPBEXheaderText" xfId="364"/>
    <cellStyle name="SAPBEXHLevel0" xfId="365"/>
    <cellStyle name="SAPBEXHLevel0X" xfId="366"/>
    <cellStyle name="SAPBEXHLevel1" xfId="367"/>
    <cellStyle name="SAPBEXHLevel1X" xfId="368"/>
    <cellStyle name="SAPBEXHLevel2" xfId="369"/>
    <cellStyle name="SAPBEXHLevel2X" xfId="370"/>
    <cellStyle name="SAPBEXHLevel3" xfId="371"/>
    <cellStyle name="SAPBEXHLevel3X" xfId="372"/>
    <cellStyle name="SAPBEXresData" xfId="373"/>
    <cellStyle name="SAPBEXresDataEmph" xfId="374"/>
    <cellStyle name="SAPBEXresItem" xfId="375"/>
    <cellStyle name="SAPBEXresItemX" xfId="376"/>
    <cellStyle name="SAPBEXstdData" xfId="377"/>
    <cellStyle name="SAPBEXstdDataEmph" xfId="378"/>
    <cellStyle name="SAPBEXstdItem" xfId="379"/>
    <cellStyle name="SAPBEXstdItemX" xfId="380"/>
    <cellStyle name="SAPBEXtitle" xfId="381"/>
    <cellStyle name="SAPBEXundefined" xfId="382"/>
    <cellStyle name="sche|_x0005_" xfId="383"/>
    <cellStyle name="shade" xfId="384"/>
    <cellStyle name="Sl_ Sl_ S퀬P Sl_ Sl_ Sl_ Sl_ Sl_ " xfId="385"/>
    <cellStyle name="Standaard_outlook 3-7 mei" xfId="386"/>
    <cellStyle name="STANDARD" xfId="387"/>
    <cellStyle name="Standard(fett)" xfId="388"/>
    <cellStyle name="Standard_R_D_SPEED_FY2009" xfId="389"/>
    <cellStyle name="Style 10" xfId="390"/>
    <cellStyle name="subhead" xfId="391"/>
    <cellStyle name="Summen u. kl. Überschr./Swiss(12)" xfId="392"/>
    <cellStyle name="tabelle" xfId="393"/>
    <cellStyle name="Tabellenkopf" xfId="394"/>
    <cellStyle name="Text Indent A" xfId="395"/>
    <cellStyle name="Text Indent B" xfId="396"/>
    <cellStyle name="Title 3" xfId="397"/>
    <cellStyle name="Titre 2" xfId="398"/>
    <cellStyle name="Überschriften/Swiss(14)/FETT" xfId="399"/>
    <cellStyle name="Undefiniert" xfId="400"/>
    <cellStyle name="Untersummen/Swiss(11)" xfId="401"/>
    <cellStyle name="Valuta [0]_Aanvragen 1999" xfId="402"/>
    <cellStyle name="Valuta_Aanvragen 1999" xfId="403"/>
    <cellStyle name="Vehicle_Benchmark" xfId="404"/>
    <cellStyle name="Version_Header" xfId="405"/>
    <cellStyle name="Volumes_Data" xfId="406"/>
    <cellStyle name="weekly" xfId="407"/>
    <cellStyle name="years" xfId="408"/>
    <cellStyle name="Zahlenformat" xfId="409"/>
    <cellStyle name=" 坪 l_Sheet1_Q4 (2)" xfId="410"/>
    <cellStyle name="강조색2 2" xfId="411"/>
    <cellStyle name="강조색3 2" xfId="412"/>
    <cellStyle name="강조색4 2" xfId="413"/>
    <cellStyle name="강조색6 2" xfId="414"/>
    <cellStyle name="경고문 2" xfId="415"/>
    <cellStyle name="계산 2" xfId="416"/>
    <cellStyle name="고정소숫점" xfId="417"/>
    <cellStyle name="고정출력1" xfId="418"/>
    <cellStyle name="고정출력2" xfId="419"/>
    <cellStyle name="굴림" xfId="420"/>
    <cellStyle name="나쁨 2" xfId="421"/>
    <cellStyle name="날짜" xfId="422"/>
    <cellStyle name="동수" xfId="423"/>
    <cellStyle name="동화" xfId="424"/>
    <cellStyle name="뒤에 오는 하이퍼링크" xfId="425"/>
    <cellStyle name="똿떒口츖¨ª괻 [0.00]_PRODUCT DETAIL Q1" xfId="426"/>
    <cellStyle name="똿떓죶Ø괻 [0.00]_PRODUCT DETAIL Q1" xfId="427"/>
    <cellStyle name="똿떓죶Ø괻_PRODUCT DETAIL Q1" xfId="428"/>
    <cellStyle name="메모 2" xfId="429"/>
    <cellStyle name="묮뎋 [0.00]_PRODUCT DETAIL Q1" xfId="430"/>
    <cellStyle name="밍? [0]_엄넷?? " xfId="431"/>
    <cellStyle name="백" xfId="432"/>
    <cellStyle name="백_연휴 및 신구정 공사보고 " xfId="433"/>
    <cellStyle name="백_연휴 및 신구정 공사보고 _건물개조관련보고서0808" xfId="434"/>
    <cellStyle name="보통 2" xfId="435"/>
    <cellStyle name="뷭?" xfId="436"/>
    <cellStyle name="새귑[0]_RESULTS" xfId="437"/>
    <cellStyle name="새귑_RESULTS" xfId="438"/>
    <cellStyle name="설명 텍스트 2" xfId="439"/>
    <cellStyle name="셀 확인 2" xfId="440"/>
    <cellStyle name="쉼표  [0]" xfId="441"/>
    <cellStyle name="쉼표 [0] 2" xfId="442"/>
    <cellStyle name="스타일 23" xfId="443"/>
    <cellStyle name="안건회계법인" xfId="444"/>
    <cellStyle name="양력날짜" xfId="445"/>
    <cellStyle name="연결된 셀 2" xfId="446"/>
    <cellStyle name="열어본 하이퍼링크" xfId="447"/>
    <cellStyle name="요약 2" xfId="448"/>
    <cellStyle name="입력 2" xfId="449"/>
    <cellStyle name="자리수" xfId="450"/>
    <cellStyle name="자리수0" xfId="451"/>
    <cellStyle name="제목 1 2" xfId="452"/>
    <cellStyle name="제목 2 2" xfId="453"/>
    <cellStyle name="제목 3 2" xfId="454"/>
    <cellStyle name="제목 4 2" xfId="455"/>
    <cellStyle name="좋음 2" xfId="456"/>
    <cellStyle name="주" xfId="457"/>
    <cellStyle name="출력 2" xfId="458"/>
    <cellStyle name="콤마 [0]_" xfId="459"/>
    <cellStyle name="콤마 [0]노무 (2)" xfId="460"/>
    <cellStyle name="콤마_" xfId="461"/>
    <cellStyle name="콤마鍮?(2)" xfId="462"/>
    <cellStyle name="콤마숫자" xfId="463"/>
    <cellStyle name="퍼센트" xfId="464"/>
    <cellStyle name="표01" xfId="465"/>
    <cellStyle name="표서식" xfId="466"/>
    <cellStyle name="표준 2" xfId="467"/>
    <cellStyle name="표준 2 2" xfId="468"/>
    <cellStyle name="표준 2_KSC_ACU_BOM_2013-05" xfId="469"/>
    <cellStyle name="표준_Airbag_Speed-10_variant" xfId="470"/>
    <cellStyle name="표준체" xfId="471"/>
    <cellStyle name="푤貫롸몰[0]_RESULTS" xfId="472"/>
    <cellStyle name="푤貫롸몰_RESULTS" xfId="473"/>
    <cellStyle name="퓭닉_ㅶA??絡 " xfId="474"/>
    <cellStyle name="합산" xfId="475"/>
    <cellStyle name="현대" xfId="476"/>
    <cellStyle name="화폐기호" xfId="477"/>
    <cellStyle name="화폐기호0" xfId="478"/>
    <cellStyle name="千分位[0]_1-2AUTO" xfId="479"/>
    <cellStyle name="千分位_1-2AUTO" xfId="480"/>
    <cellStyle name="常规_10.31新BOM" xfId="481"/>
    <cellStyle name="貨幣 [0]_1-2AUTO" xfId="482"/>
    <cellStyle name="貨幣[0]_B-4SEGM" xfId="483"/>
    <cellStyle name="貨幣_1-2AUTO" xfId="4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83C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89647</xdr:colOff>
      <xdr:row>49</xdr:row>
      <xdr:rowOff>466164</xdr:rowOff>
    </xdr:from>
    <xdr:to>
      <xdr:col>26</xdr:col>
      <xdr:colOff>6460520</xdr:colOff>
      <xdr:row>49</xdr:row>
      <xdr:rowOff>1733100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314880" y="43815000"/>
          <a:ext cx="6370955" cy="1266825"/>
        </a:xfrm>
        <a:prstGeom prst="rect">
          <a:avLst/>
        </a:prstGeom>
      </xdr:spPr>
    </xdr:pic>
    <xdr:clientData/>
  </xdr:twoCellAnchor>
  <xdr:twoCellAnchor>
    <xdr:from>
      <xdr:col>3</xdr:col>
      <xdr:colOff>258536</xdr:colOff>
      <xdr:row>5</xdr:row>
      <xdr:rowOff>231321</xdr:rowOff>
    </xdr:from>
    <xdr:to>
      <xdr:col>4</xdr:col>
      <xdr:colOff>493522</xdr:colOff>
      <xdr:row>7</xdr:row>
      <xdr:rowOff>2099661</xdr:rowOff>
    </xdr:to>
    <xdr:sp>
      <xdr:nvSpPr>
        <xdr:cNvPr id="3" name="Arrow: Right 2"/>
        <xdr:cNvSpPr/>
      </xdr:nvSpPr>
      <xdr:spPr>
        <a:xfrm>
          <a:off x="3283585" y="2045970"/>
          <a:ext cx="882650" cy="8939530"/>
        </a:xfrm>
        <a:prstGeom prst="rightArrow">
          <a:avLst/>
        </a:prstGeom>
        <a:solidFill>
          <a:srgbClr val="FFCC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en-US" sz="1100" b="0"/>
            <a:t>Supplier define the CDS table here</a:t>
          </a:r>
          <a:endParaRPr 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B2:AA58"/>
  <sheetViews>
    <sheetView tabSelected="1" zoomScale="55" zoomScaleNormal="55" topLeftCell="E1" workbookViewId="0">
      <pane xSplit="9" ySplit="5" topLeftCell="U48" activePane="bottomRight" state="frozen"/>
      <selection/>
      <selection pane="topRight"/>
      <selection pane="bottomLeft"/>
      <selection pane="bottomRight" activeCell="U7" sqref="U7"/>
    </sheetView>
  </sheetViews>
  <sheetFormatPr defaultColWidth="9" defaultRowHeight="14"/>
  <cols>
    <col min="1" max="1" width="1.5" style="1" customWidth="1"/>
    <col min="2" max="2" width="17.2" style="1" customWidth="1"/>
    <col min="3" max="3" width="21" style="1" customWidth="1"/>
    <col min="4" max="5" width="8.5" style="1" customWidth="1"/>
    <col min="6" max="6" width="43.9" style="1" customWidth="1"/>
    <col min="7" max="7" width="11.6" style="1" customWidth="1"/>
    <col min="8" max="8" width="11.3" style="1" customWidth="1"/>
    <col min="9" max="9" width="13.3" style="1" customWidth="1"/>
    <col min="10" max="10" width="21.2" style="1" customWidth="1"/>
    <col min="11" max="11" width="30" style="1" customWidth="1"/>
    <col min="12" max="12" width="15.5" style="1" customWidth="1"/>
    <col min="13" max="13" width="16.2" style="1" customWidth="1"/>
    <col min="14" max="15" width="25.7" style="2" customWidth="1"/>
    <col min="16" max="16" width="21.6" style="2" customWidth="1"/>
    <col min="17" max="19" width="25.7" style="2" customWidth="1"/>
    <col min="20" max="20" width="21.6" style="2" customWidth="1"/>
    <col min="21" max="21" width="19.6916666666667" style="2" customWidth="1"/>
    <col min="22" max="22" width="21.6" style="2" customWidth="1"/>
    <col min="23" max="25" width="25.7" style="2" customWidth="1"/>
    <col min="26" max="26" width="18.1" style="3" customWidth="1"/>
    <col min="27" max="27" width="114.5" style="3" customWidth="1"/>
    <col min="28" max="16384" width="9" style="1"/>
  </cols>
  <sheetData>
    <row r="2" ht="17.5" spans="2:27">
      <c r="N2" s="4" t="s">
        <v>0</v>
      </c>
      <c r="O2" s="4"/>
      <c r="P2" s="4"/>
      <c r="Q2" s="4"/>
      <c r="R2" s="4"/>
      <c r="S2" s="4"/>
      <c r="T2" s="5"/>
      <c r="U2" s="5"/>
      <c r="V2" s="5" t="s">
        <v>1</v>
      </c>
      <c r="W2" s="5"/>
      <c r="X2" s="5"/>
      <c r="Y2" s="5"/>
    </row>
    <row r="3" ht="83.4" customHeight="1" spans="2:27">
      <c r="B3" s="6" t="s">
        <v>2</v>
      </c>
      <c r="C3" s="6" t="s">
        <v>3</v>
      </c>
      <c r="D3" s="6" t="s">
        <v>4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8" t="s">
        <v>11</v>
      </c>
      <c r="M3" s="8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1" t="s">
        <v>25</v>
      </c>
      <c r="AA3" s="6" t="s">
        <v>26</v>
      </c>
    </row>
    <row r="4" spans="2:27">
      <c r="B4" s="12" t="s">
        <v>27</v>
      </c>
      <c r="C4" s="13" t="s">
        <v>28</v>
      </c>
      <c r="D4" s="13" t="s">
        <v>29</v>
      </c>
      <c r="E4" s="14" t="s">
        <v>29</v>
      </c>
      <c r="F4" s="15" t="s">
        <v>30</v>
      </c>
      <c r="G4" s="16">
        <v>3</v>
      </c>
      <c r="H4" s="17">
        <v>0</v>
      </c>
      <c r="I4" s="17">
        <v>16</v>
      </c>
      <c r="J4" s="17" t="s">
        <v>31</v>
      </c>
      <c r="K4" s="18" t="s">
        <v>32</v>
      </c>
      <c r="L4" s="18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20" t="s">
        <v>29</v>
      </c>
      <c r="AA4" s="21"/>
    </row>
    <row r="5" spans="2:27">
      <c r="B5" s="12"/>
      <c r="C5" s="13"/>
      <c r="D5" s="13"/>
      <c r="E5" s="14"/>
      <c r="F5" s="15" t="s">
        <v>33</v>
      </c>
      <c r="G5" s="17">
        <f>G4+QUOTIENT(H4+I4,8)</f>
        <v>5</v>
      </c>
      <c r="H5" s="17">
        <f>MOD(H4+I4,8)</f>
        <v>0</v>
      </c>
      <c r="I5" s="17">
        <v>56</v>
      </c>
      <c r="J5" s="17" t="s">
        <v>34</v>
      </c>
      <c r="K5" s="18" t="s">
        <v>32</v>
      </c>
      <c r="L5" s="18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20" t="s">
        <v>29</v>
      </c>
      <c r="AA5" s="22"/>
    </row>
    <row r="6" ht="192" customHeight="1" spans="2:27">
      <c r="B6" s="23"/>
      <c r="C6" s="23"/>
      <c r="D6" s="24"/>
      <c r="E6" s="14"/>
      <c r="F6" s="25" t="s">
        <v>35</v>
      </c>
      <c r="G6" s="17">
        <f t="shared" ref="G6:G51" si="0">G5+QUOTIENT(H5+I5,8)</f>
        <v>12</v>
      </c>
      <c r="H6" s="17">
        <f t="shared" ref="H6:H51" si="1">MOD(H5+I5,8)</f>
        <v>0</v>
      </c>
      <c r="I6" s="26">
        <v>8</v>
      </c>
      <c r="J6" s="26" t="s">
        <v>31</v>
      </c>
      <c r="K6" s="27" t="s">
        <v>36</v>
      </c>
      <c r="L6" s="28" t="s">
        <v>37</v>
      </c>
      <c r="M6" s="29" t="s">
        <v>37</v>
      </c>
      <c r="N6" s="29" t="s">
        <v>37</v>
      </c>
      <c r="O6" s="29" t="s">
        <v>37</v>
      </c>
      <c r="P6" s="29" t="s">
        <v>37</v>
      </c>
      <c r="Q6" s="30" t="s">
        <v>37</v>
      </c>
      <c r="R6" s="30" t="s">
        <v>37</v>
      </c>
      <c r="S6" s="29" t="s">
        <v>37</v>
      </c>
      <c r="T6" s="29" t="s">
        <v>37</v>
      </c>
      <c r="U6" s="29" t="s">
        <v>37</v>
      </c>
      <c r="V6" s="29" t="s">
        <v>37</v>
      </c>
      <c r="W6" s="30" t="s">
        <v>37</v>
      </c>
      <c r="X6" s="29" t="s">
        <v>37</v>
      </c>
      <c r="Y6" s="29" t="s">
        <v>37</v>
      </c>
      <c r="Z6" s="20" t="s">
        <v>29</v>
      </c>
      <c r="AA6" s="21"/>
    </row>
    <row r="7" ht="364.8" customHeight="1" spans="2:27">
      <c r="B7" s="23"/>
      <c r="C7" s="23"/>
      <c r="D7" s="24"/>
      <c r="E7" s="14"/>
      <c r="F7" s="25" t="s">
        <v>38</v>
      </c>
      <c r="G7" s="17">
        <f t="shared" si="0"/>
        <v>13</v>
      </c>
      <c r="H7" s="17">
        <f t="shared" si="1"/>
        <v>0</v>
      </c>
      <c r="I7" s="26">
        <v>8</v>
      </c>
      <c r="J7" s="26" t="s">
        <v>31</v>
      </c>
      <c r="K7" s="30" t="s">
        <v>39</v>
      </c>
      <c r="L7" s="31" t="s">
        <v>40</v>
      </c>
      <c r="M7" s="29" t="s">
        <v>41</v>
      </c>
      <c r="N7" s="29" t="s">
        <v>42</v>
      </c>
      <c r="O7" s="29" t="s">
        <v>42</v>
      </c>
      <c r="P7" s="29" t="s">
        <v>40</v>
      </c>
      <c r="Q7" s="30" t="s">
        <v>40</v>
      </c>
      <c r="R7" s="30" t="s">
        <v>40</v>
      </c>
      <c r="S7" s="29" t="s">
        <v>40</v>
      </c>
      <c r="T7" s="29" t="s">
        <v>43</v>
      </c>
      <c r="U7" s="29" t="s">
        <v>43</v>
      </c>
      <c r="V7" s="29" t="s">
        <v>41</v>
      </c>
      <c r="W7" s="30" t="s">
        <v>41</v>
      </c>
      <c r="X7" s="29" t="s">
        <v>41</v>
      </c>
      <c r="Y7" s="29" t="s">
        <v>44</v>
      </c>
      <c r="Z7" s="20" t="s">
        <v>29</v>
      </c>
      <c r="AA7" s="21"/>
    </row>
    <row r="8" ht="234" customHeight="1" spans="2:27">
      <c r="B8" s="23"/>
      <c r="C8" s="23"/>
      <c r="D8" s="24"/>
      <c r="E8" s="14"/>
      <c r="F8" s="25" t="s">
        <v>45</v>
      </c>
      <c r="G8" s="17">
        <f t="shared" si="0"/>
        <v>14</v>
      </c>
      <c r="H8" s="17">
        <f t="shared" si="1"/>
        <v>0</v>
      </c>
      <c r="I8" s="26">
        <v>8</v>
      </c>
      <c r="J8" s="26" t="s">
        <v>31</v>
      </c>
      <c r="K8" s="27" t="s">
        <v>46</v>
      </c>
      <c r="L8" s="31" t="s">
        <v>47</v>
      </c>
      <c r="M8" s="29" t="s">
        <v>48</v>
      </c>
      <c r="N8" s="29" t="s">
        <v>48</v>
      </c>
      <c r="O8" s="29" t="s">
        <v>49</v>
      </c>
      <c r="P8" s="29" t="s">
        <v>50</v>
      </c>
      <c r="Q8" s="30" t="s">
        <v>51</v>
      </c>
      <c r="R8" s="30" t="s">
        <v>52</v>
      </c>
      <c r="S8" s="29" t="s">
        <v>47</v>
      </c>
      <c r="T8" s="29" t="s">
        <v>48</v>
      </c>
      <c r="U8" s="29" t="s">
        <v>49</v>
      </c>
      <c r="V8" s="29" t="s">
        <v>48</v>
      </c>
      <c r="W8" s="30" t="s">
        <v>49</v>
      </c>
      <c r="X8" s="29" t="s">
        <v>53</v>
      </c>
      <c r="Y8" s="29" t="s">
        <v>48</v>
      </c>
      <c r="Z8" s="20" t="s">
        <v>29</v>
      </c>
      <c r="AA8" s="21"/>
    </row>
    <row r="9" ht="70" spans="2:27">
      <c r="B9" s="23"/>
      <c r="C9" s="23"/>
      <c r="D9" s="24"/>
      <c r="E9" s="14"/>
      <c r="F9" s="25" t="s">
        <v>54</v>
      </c>
      <c r="G9" s="17">
        <f t="shared" si="0"/>
        <v>15</v>
      </c>
      <c r="H9" s="17">
        <f t="shared" si="1"/>
        <v>0</v>
      </c>
      <c r="I9" s="26">
        <v>4</v>
      </c>
      <c r="J9" s="26" t="s">
        <v>31</v>
      </c>
      <c r="K9" s="27" t="s">
        <v>55</v>
      </c>
      <c r="L9" s="29" t="s">
        <v>56</v>
      </c>
      <c r="M9" s="29" t="s">
        <v>57</v>
      </c>
      <c r="N9" s="29" t="s">
        <v>56</v>
      </c>
      <c r="O9" s="29" t="s">
        <v>56</v>
      </c>
      <c r="P9" s="29" t="s">
        <v>56</v>
      </c>
      <c r="Q9" s="30" t="s">
        <v>56</v>
      </c>
      <c r="R9" s="30" t="s">
        <v>56</v>
      </c>
      <c r="S9" s="29" t="s">
        <v>56</v>
      </c>
      <c r="T9" s="29" t="s">
        <v>57</v>
      </c>
      <c r="U9" s="29" t="s">
        <v>57</v>
      </c>
      <c r="V9" s="29" t="s">
        <v>57</v>
      </c>
      <c r="W9" s="30" t="s">
        <v>57</v>
      </c>
      <c r="X9" s="29" t="s">
        <v>57</v>
      </c>
      <c r="Y9" s="29" t="s">
        <v>57</v>
      </c>
      <c r="Z9" s="20" t="s">
        <v>29</v>
      </c>
      <c r="AA9" s="32"/>
    </row>
    <row r="10" ht="56" spans="2:27">
      <c r="B10" s="23"/>
      <c r="C10" s="23"/>
      <c r="D10" s="24"/>
      <c r="E10" s="33"/>
      <c r="F10" s="34" t="s">
        <v>58</v>
      </c>
      <c r="G10" s="17">
        <f t="shared" si="0"/>
        <v>15</v>
      </c>
      <c r="H10" s="17">
        <f t="shared" si="1"/>
        <v>4</v>
      </c>
      <c r="I10" s="35">
        <v>4</v>
      </c>
      <c r="J10" s="35" t="s">
        <v>31</v>
      </c>
      <c r="K10" s="36" t="s">
        <v>59</v>
      </c>
      <c r="L10" s="19" t="s">
        <v>60</v>
      </c>
      <c r="M10" s="19" t="s">
        <v>61</v>
      </c>
      <c r="N10" s="19" t="s">
        <v>61</v>
      </c>
      <c r="O10" s="19" t="s">
        <v>60</v>
      </c>
      <c r="P10" s="19" t="s">
        <v>61</v>
      </c>
      <c r="Q10" s="37" t="s">
        <v>61</v>
      </c>
      <c r="R10" s="37" t="s">
        <v>61</v>
      </c>
      <c r="S10" s="19" t="s">
        <v>60</v>
      </c>
      <c r="T10" s="19" t="s">
        <v>61</v>
      </c>
      <c r="U10" s="19" t="s">
        <v>60</v>
      </c>
      <c r="V10" s="19" t="s">
        <v>61</v>
      </c>
      <c r="W10" s="37" t="s">
        <v>61</v>
      </c>
      <c r="X10" s="19" t="s">
        <v>60</v>
      </c>
      <c r="Y10" s="19" t="s">
        <v>60</v>
      </c>
      <c r="Z10" s="20" t="s">
        <v>29</v>
      </c>
      <c r="AA10" s="21"/>
    </row>
    <row r="11" ht="56" spans="2:27">
      <c r="B11" s="23"/>
      <c r="C11" s="23"/>
      <c r="D11" s="24"/>
      <c r="E11" s="33"/>
      <c r="F11" s="34" t="s">
        <v>62</v>
      </c>
      <c r="G11" s="17">
        <f t="shared" si="0"/>
        <v>16</v>
      </c>
      <c r="H11" s="17">
        <f t="shared" si="1"/>
        <v>0</v>
      </c>
      <c r="I11" s="35">
        <v>4</v>
      </c>
      <c r="J11" s="35" t="s">
        <v>31</v>
      </c>
      <c r="K11" s="36" t="s">
        <v>59</v>
      </c>
      <c r="L11" s="34" t="s">
        <v>60</v>
      </c>
      <c r="M11" s="19" t="s">
        <v>60</v>
      </c>
      <c r="N11" s="19" t="s">
        <v>60</v>
      </c>
      <c r="O11" s="19" t="s">
        <v>60</v>
      </c>
      <c r="P11" s="19" t="s">
        <v>60</v>
      </c>
      <c r="Q11" s="37" t="s">
        <v>60</v>
      </c>
      <c r="R11" s="37" t="s">
        <v>60</v>
      </c>
      <c r="S11" s="19" t="s">
        <v>60</v>
      </c>
      <c r="T11" s="19" t="s">
        <v>60</v>
      </c>
      <c r="U11" s="19" t="s">
        <v>60</v>
      </c>
      <c r="V11" s="19" t="s">
        <v>60</v>
      </c>
      <c r="W11" s="37" t="s">
        <v>60</v>
      </c>
      <c r="X11" s="19" t="s">
        <v>60</v>
      </c>
      <c r="Y11" s="19" t="s">
        <v>60</v>
      </c>
      <c r="Z11" s="20" t="s">
        <v>29</v>
      </c>
      <c r="AA11" s="21"/>
    </row>
    <row r="12" ht="84" spans="2:27">
      <c r="B12" s="23"/>
      <c r="C12" s="23"/>
      <c r="D12" s="24"/>
      <c r="E12" s="14"/>
      <c r="F12" s="25" t="s">
        <v>63</v>
      </c>
      <c r="G12" s="17">
        <f t="shared" si="0"/>
        <v>16</v>
      </c>
      <c r="H12" s="17">
        <f t="shared" si="1"/>
        <v>4</v>
      </c>
      <c r="I12" s="26">
        <v>4</v>
      </c>
      <c r="J12" s="26" t="s">
        <v>31</v>
      </c>
      <c r="K12" s="31" t="s">
        <v>64</v>
      </c>
      <c r="L12" s="31" t="s">
        <v>65</v>
      </c>
      <c r="M12" s="29" t="s">
        <v>65</v>
      </c>
      <c r="N12" s="29" t="s">
        <v>65</v>
      </c>
      <c r="O12" s="29" t="s">
        <v>65</v>
      </c>
      <c r="P12" s="29" t="s">
        <v>65</v>
      </c>
      <c r="Q12" s="30" t="s">
        <v>65</v>
      </c>
      <c r="R12" s="30" t="s">
        <v>65</v>
      </c>
      <c r="S12" s="29" t="s">
        <v>65</v>
      </c>
      <c r="T12" s="29" t="s">
        <v>65</v>
      </c>
      <c r="U12" s="29" t="s">
        <v>65</v>
      </c>
      <c r="V12" s="29" t="s">
        <v>65</v>
      </c>
      <c r="W12" s="30" t="s">
        <v>65</v>
      </c>
      <c r="X12" s="29" t="s">
        <v>65</v>
      </c>
      <c r="Y12" s="29" t="s">
        <v>66</v>
      </c>
      <c r="Z12" s="32" t="s">
        <v>67</v>
      </c>
      <c r="AA12" s="21"/>
    </row>
    <row r="13" ht="84" spans="2:27">
      <c r="B13" s="23"/>
      <c r="C13" s="23"/>
      <c r="D13" s="24"/>
      <c r="E13" s="14"/>
      <c r="F13" s="25" t="s">
        <v>68</v>
      </c>
      <c r="G13" s="17">
        <f t="shared" si="0"/>
        <v>17</v>
      </c>
      <c r="H13" s="17">
        <f t="shared" si="1"/>
        <v>0</v>
      </c>
      <c r="I13" s="26">
        <v>4</v>
      </c>
      <c r="J13" s="26" t="s">
        <v>31</v>
      </c>
      <c r="K13" s="31" t="s">
        <v>64</v>
      </c>
      <c r="L13" s="31" t="s">
        <v>65</v>
      </c>
      <c r="M13" s="29" t="s">
        <v>65</v>
      </c>
      <c r="N13" s="29" t="s">
        <v>65</v>
      </c>
      <c r="O13" s="29" t="s">
        <v>65</v>
      </c>
      <c r="P13" s="29" t="s">
        <v>65</v>
      </c>
      <c r="Q13" s="30" t="s">
        <v>65</v>
      </c>
      <c r="R13" s="30" t="s">
        <v>65</v>
      </c>
      <c r="S13" s="29" t="s">
        <v>65</v>
      </c>
      <c r="T13" s="29" t="s">
        <v>65</v>
      </c>
      <c r="U13" s="29" t="s">
        <v>65</v>
      </c>
      <c r="V13" s="29" t="s">
        <v>65</v>
      </c>
      <c r="W13" s="30" t="s">
        <v>65</v>
      </c>
      <c r="X13" s="29" t="s">
        <v>65</v>
      </c>
      <c r="Y13" s="29" t="s">
        <v>66</v>
      </c>
      <c r="Z13" s="32" t="s">
        <v>67</v>
      </c>
      <c r="AA13" s="21"/>
    </row>
    <row r="14" ht="56" spans="2:27">
      <c r="B14" s="12"/>
      <c r="C14" s="12"/>
      <c r="D14" s="13"/>
      <c r="E14" s="14"/>
      <c r="F14" s="25" t="s">
        <v>69</v>
      </c>
      <c r="G14" s="17">
        <f t="shared" si="0"/>
        <v>17</v>
      </c>
      <c r="H14" s="17">
        <f t="shared" si="1"/>
        <v>4</v>
      </c>
      <c r="I14" s="17">
        <v>4</v>
      </c>
      <c r="J14" s="26" t="s">
        <v>31</v>
      </c>
      <c r="K14" s="31" t="s">
        <v>70</v>
      </c>
      <c r="L14" s="31" t="s">
        <v>65</v>
      </c>
      <c r="M14" s="19" t="s">
        <v>61</v>
      </c>
      <c r="N14" s="37" t="s">
        <v>65</v>
      </c>
      <c r="O14" s="19" t="s">
        <v>65</v>
      </c>
      <c r="P14" s="19" t="s">
        <v>61</v>
      </c>
      <c r="Q14" s="37" t="s">
        <v>65</v>
      </c>
      <c r="R14" s="37" t="s">
        <v>65</v>
      </c>
      <c r="S14" s="19" t="s">
        <v>65</v>
      </c>
      <c r="T14" s="19" t="s">
        <v>61</v>
      </c>
      <c r="U14" s="19" t="s">
        <v>65</v>
      </c>
      <c r="V14" s="19" t="s">
        <v>61</v>
      </c>
      <c r="W14" s="37" t="s">
        <v>65</v>
      </c>
      <c r="X14" s="19" t="s">
        <v>65</v>
      </c>
      <c r="Y14" s="19" t="s">
        <v>65</v>
      </c>
      <c r="Z14" s="32" t="s">
        <v>67</v>
      </c>
      <c r="AA14" s="21"/>
    </row>
    <row r="15" ht="56" spans="2:27">
      <c r="B15" s="23"/>
      <c r="C15" s="23"/>
      <c r="D15" s="24"/>
      <c r="E15" s="14"/>
      <c r="F15" s="25" t="s">
        <v>71</v>
      </c>
      <c r="G15" s="17">
        <f t="shared" si="0"/>
        <v>18</v>
      </c>
      <c r="H15" s="17">
        <f t="shared" si="1"/>
        <v>0</v>
      </c>
      <c r="I15" s="26">
        <v>4</v>
      </c>
      <c r="J15" s="26" t="s">
        <v>31</v>
      </c>
      <c r="K15" s="31" t="s">
        <v>70</v>
      </c>
      <c r="L15" s="31" t="s">
        <v>61</v>
      </c>
      <c r="M15" s="19" t="s">
        <v>61</v>
      </c>
      <c r="N15" s="19" t="s">
        <v>61</v>
      </c>
      <c r="O15" s="19" t="s">
        <v>61</v>
      </c>
      <c r="P15" s="19" t="s">
        <v>61</v>
      </c>
      <c r="Q15" s="37" t="s">
        <v>61</v>
      </c>
      <c r="R15" s="37" t="s">
        <v>61</v>
      </c>
      <c r="S15" s="19" t="s">
        <v>61</v>
      </c>
      <c r="T15" s="19" t="s">
        <v>61</v>
      </c>
      <c r="U15" s="19" t="s">
        <v>61</v>
      </c>
      <c r="V15" s="19" t="s">
        <v>61</v>
      </c>
      <c r="W15" s="37" t="s">
        <v>61</v>
      </c>
      <c r="X15" s="19" t="s">
        <v>61</v>
      </c>
      <c r="Y15" s="19" t="s">
        <v>61</v>
      </c>
      <c r="Z15" s="20" t="s">
        <v>29</v>
      </c>
      <c r="AA15" s="21"/>
    </row>
    <row r="16" ht="56" spans="2:27">
      <c r="B16" s="12"/>
      <c r="C16" s="12"/>
      <c r="D16" s="13"/>
      <c r="E16" s="33"/>
      <c r="F16" s="25" t="s">
        <v>72</v>
      </c>
      <c r="G16" s="17">
        <f t="shared" si="0"/>
        <v>18</v>
      </c>
      <c r="H16" s="17">
        <f t="shared" si="1"/>
        <v>4</v>
      </c>
      <c r="I16" s="17">
        <v>4</v>
      </c>
      <c r="J16" s="26" t="s">
        <v>31</v>
      </c>
      <c r="K16" s="31" t="s">
        <v>70</v>
      </c>
      <c r="L16" s="31" t="s">
        <v>65</v>
      </c>
      <c r="M16" s="22" t="s">
        <v>61</v>
      </c>
      <c r="N16" s="19" t="s">
        <v>65</v>
      </c>
      <c r="O16" s="19" t="s">
        <v>65</v>
      </c>
      <c r="P16" s="19" t="s">
        <v>65</v>
      </c>
      <c r="Q16" s="37" t="s">
        <v>65</v>
      </c>
      <c r="R16" s="37" t="s">
        <v>65</v>
      </c>
      <c r="S16" s="19" t="s">
        <v>65</v>
      </c>
      <c r="T16" s="22" t="s">
        <v>61</v>
      </c>
      <c r="U16" s="19" t="s">
        <v>65</v>
      </c>
      <c r="V16" s="22" t="s">
        <v>61</v>
      </c>
      <c r="W16" s="37" t="s">
        <v>65</v>
      </c>
      <c r="X16" s="19" t="s">
        <v>65</v>
      </c>
      <c r="Y16" s="19" t="s">
        <v>65</v>
      </c>
      <c r="Z16" s="32" t="s">
        <v>67</v>
      </c>
      <c r="AA16" s="21"/>
    </row>
    <row r="17" ht="56" spans="2:27">
      <c r="B17" s="12"/>
      <c r="C17" s="12"/>
      <c r="D17" s="13"/>
      <c r="E17" s="33"/>
      <c r="F17" s="25" t="s">
        <v>73</v>
      </c>
      <c r="G17" s="17">
        <f t="shared" si="0"/>
        <v>19</v>
      </c>
      <c r="H17" s="17">
        <f t="shared" si="1"/>
        <v>0</v>
      </c>
      <c r="I17" s="17">
        <v>4</v>
      </c>
      <c r="J17" s="26" t="s">
        <v>31</v>
      </c>
      <c r="K17" s="31" t="s">
        <v>70</v>
      </c>
      <c r="L17" s="31" t="s">
        <v>65</v>
      </c>
      <c r="M17" s="19" t="s">
        <v>61</v>
      </c>
      <c r="N17" s="19" t="s">
        <v>65</v>
      </c>
      <c r="O17" s="19" t="s">
        <v>65</v>
      </c>
      <c r="P17" s="19" t="s">
        <v>65</v>
      </c>
      <c r="Q17" s="37" t="s">
        <v>65</v>
      </c>
      <c r="R17" s="37" t="s">
        <v>65</v>
      </c>
      <c r="S17" s="19" t="s">
        <v>65</v>
      </c>
      <c r="T17" s="19" t="s">
        <v>61</v>
      </c>
      <c r="U17" s="19" t="s">
        <v>65</v>
      </c>
      <c r="V17" s="19" t="s">
        <v>61</v>
      </c>
      <c r="W17" s="37" t="s">
        <v>65</v>
      </c>
      <c r="X17" s="19" t="s">
        <v>65</v>
      </c>
      <c r="Y17" s="19" t="s">
        <v>65</v>
      </c>
      <c r="Z17" s="32" t="s">
        <v>67</v>
      </c>
      <c r="AA17" s="21"/>
    </row>
    <row r="18" ht="56" spans="2:27">
      <c r="B18" s="12"/>
      <c r="C18" s="12"/>
      <c r="D18" s="13"/>
      <c r="E18" s="33"/>
      <c r="F18" s="25" t="s">
        <v>74</v>
      </c>
      <c r="G18" s="17">
        <f t="shared" si="0"/>
        <v>19</v>
      </c>
      <c r="H18" s="17">
        <f t="shared" si="1"/>
        <v>4</v>
      </c>
      <c r="I18" s="17">
        <v>4</v>
      </c>
      <c r="J18" s="26" t="s">
        <v>31</v>
      </c>
      <c r="K18" s="31" t="s">
        <v>70</v>
      </c>
      <c r="L18" s="19" t="s">
        <v>61</v>
      </c>
      <c r="M18" s="19" t="s">
        <v>61</v>
      </c>
      <c r="N18" s="19" t="s">
        <v>61</v>
      </c>
      <c r="O18" s="19" t="s">
        <v>61</v>
      </c>
      <c r="P18" s="19" t="s">
        <v>61</v>
      </c>
      <c r="Q18" s="37" t="s">
        <v>61</v>
      </c>
      <c r="R18" s="37" t="s">
        <v>61</v>
      </c>
      <c r="S18" s="19" t="s">
        <v>61</v>
      </c>
      <c r="T18" s="19" t="s">
        <v>61</v>
      </c>
      <c r="U18" s="19" t="s">
        <v>61</v>
      </c>
      <c r="V18" s="19" t="s">
        <v>61</v>
      </c>
      <c r="W18" s="37" t="s">
        <v>61</v>
      </c>
      <c r="X18" s="19" t="s">
        <v>61</v>
      </c>
      <c r="Y18" s="19" t="s">
        <v>61</v>
      </c>
      <c r="Z18" s="20" t="s">
        <v>29</v>
      </c>
      <c r="AA18" s="21"/>
    </row>
    <row r="19" ht="56" spans="2:27">
      <c r="B19" s="12"/>
      <c r="C19" s="12"/>
      <c r="D19" s="13"/>
      <c r="E19" s="33"/>
      <c r="F19" s="25" t="s">
        <v>75</v>
      </c>
      <c r="G19" s="17">
        <f t="shared" si="0"/>
        <v>20</v>
      </c>
      <c r="H19" s="17">
        <f t="shared" si="1"/>
        <v>0</v>
      </c>
      <c r="I19" s="17">
        <v>4</v>
      </c>
      <c r="J19" s="26" t="s">
        <v>31</v>
      </c>
      <c r="K19" s="31" t="s">
        <v>70</v>
      </c>
      <c r="L19" s="19" t="s">
        <v>61</v>
      </c>
      <c r="M19" s="19" t="s">
        <v>61</v>
      </c>
      <c r="N19" s="19" t="s">
        <v>61</v>
      </c>
      <c r="O19" s="19" t="s">
        <v>61</v>
      </c>
      <c r="P19" s="19" t="s">
        <v>61</v>
      </c>
      <c r="Q19" s="37" t="s">
        <v>61</v>
      </c>
      <c r="R19" s="37" t="s">
        <v>61</v>
      </c>
      <c r="S19" s="19" t="s">
        <v>61</v>
      </c>
      <c r="T19" s="19" t="s">
        <v>61</v>
      </c>
      <c r="U19" s="19" t="s">
        <v>61</v>
      </c>
      <c r="V19" s="19" t="s">
        <v>61</v>
      </c>
      <c r="W19" s="37" t="s">
        <v>61</v>
      </c>
      <c r="X19" s="19" t="s">
        <v>61</v>
      </c>
      <c r="Y19" s="19" t="s">
        <v>61</v>
      </c>
      <c r="Z19" s="20" t="s">
        <v>29</v>
      </c>
      <c r="AA19" s="21"/>
    </row>
    <row r="20" ht="56" spans="2:27">
      <c r="B20" s="12"/>
      <c r="C20" s="12"/>
      <c r="D20" s="13"/>
      <c r="E20" s="33"/>
      <c r="F20" s="25" t="s">
        <v>76</v>
      </c>
      <c r="G20" s="17">
        <f t="shared" si="0"/>
        <v>20</v>
      </c>
      <c r="H20" s="17">
        <f t="shared" si="1"/>
        <v>4</v>
      </c>
      <c r="I20" s="17">
        <v>4</v>
      </c>
      <c r="J20" s="26" t="s">
        <v>31</v>
      </c>
      <c r="K20" s="31" t="s">
        <v>70</v>
      </c>
      <c r="L20" s="19" t="s">
        <v>65</v>
      </c>
      <c r="M20" s="19" t="s">
        <v>61</v>
      </c>
      <c r="N20" s="19" t="s">
        <v>65</v>
      </c>
      <c r="O20" s="19" t="s">
        <v>65</v>
      </c>
      <c r="P20" s="19" t="s">
        <v>65</v>
      </c>
      <c r="Q20" s="37" t="s">
        <v>65</v>
      </c>
      <c r="R20" s="37" t="s">
        <v>65</v>
      </c>
      <c r="S20" s="19" t="s">
        <v>65</v>
      </c>
      <c r="T20" s="19" t="s">
        <v>61</v>
      </c>
      <c r="U20" s="19" t="s">
        <v>65</v>
      </c>
      <c r="V20" s="19" t="s">
        <v>61</v>
      </c>
      <c r="W20" s="37" t="s">
        <v>65</v>
      </c>
      <c r="X20" s="19" t="s">
        <v>65</v>
      </c>
      <c r="Y20" s="19" t="s">
        <v>65</v>
      </c>
      <c r="Z20" s="32" t="s">
        <v>67</v>
      </c>
      <c r="AA20" s="21"/>
    </row>
    <row r="21" ht="56" spans="2:27">
      <c r="B21" s="12"/>
      <c r="C21" s="12"/>
      <c r="D21" s="13"/>
      <c r="E21" s="33"/>
      <c r="F21" s="34" t="s">
        <v>77</v>
      </c>
      <c r="G21" s="17">
        <f t="shared" si="0"/>
        <v>21</v>
      </c>
      <c r="H21" s="17">
        <f t="shared" si="1"/>
        <v>0</v>
      </c>
      <c r="I21" s="17">
        <v>4</v>
      </c>
      <c r="J21" s="26" t="s">
        <v>31</v>
      </c>
      <c r="K21" s="31" t="s">
        <v>70</v>
      </c>
      <c r="L21" s="19" t="s">
        <v>65</v>
      </c>
      <c r="M21" s="19" t="s">
        <v>61</v>
      </c>
      <c r="N21" s="19" t="s">
        <v>65</v>
      </c>
      <c r="O21" s="19" t="s">
        <v>65</v>
      </c>
      <c r="P21" s="19" t="s">
        <v>65</v>
      </c>
      <c r="Q21" s="37" t="s">
        <v>65</v>
      </c>
      <c r="R21" s="37" t="s">
        <v>65</v>
      </c>
      <c r="S21" s="19" t="s">
        <v>65</v>
      </c>
      <c r="T21" s="19" t="s">
        <v>61</v>
      </c>
      <c r="U21" s="19" t="s">
        <v>65</v>
      </c>
      <c r="V21" s="19" t="s">
        <v>61</v>
      </c>
      <c r="W21" s="37" t="s">
        <v>65</v>
      </c>
      <c r="X21" s="19" t="s">
        <v>65</v>
      </c>
      <c r="Y21" s="19" t="s">
        <v>65</v>
      </c>
      <c r="Z21" s="32" t="s">
        <v>67</v>
      </c>
      <c r="AA21" s="21"/>
    </row>
    <row r="22" ht="56" spans="2:27">
      <c r="B22" s="12"/>
      <c r="C22" s="12"/>
      <c r="D22" s="13"/>
      <c r="E22" s="33"/>
      <c r="F22" s="15" t="s">
        <v>78</v>
      </c>
      <c r="G22" s="17">
        <f t="shared" si="0"/>
        <v>21</v>
      </c>
      <c r="H22" s="17">
        <f t="shared" si="1"/>
        <v>4</v>
      </c>
      <c r="I22" s="17">
        <v>4</v>
      </c>
      <c r="J22" s="26" t="s">
        <v>31</v>
      </c>
      <c r="K22" s="31" t="s">
        <v>70</v>
      </c>
      <c r="L22" s="19" t="s">
        <v>61</v>
      </c>
      <c r="M22" s="19" t="s">
        <v>61</v>
      </c>
      <c r="N22" s="19" t="s">
        <v>61</v>
      </c>
      <c r="O22" s="19" t="s">
        <v>61</v>
      </c>
      <c r="P22" s="19" t="s">
        <v>61</v>
      </c>
      <c r="Q22" s="37" t="s">
        <v>61</v>
      </c>
      <c r="R22" s="37" t="s">
        <v>61</v>
      </c>
      <c r="S22" s="19" t="s">
        <v>61</v>
      </c>
      <c r="T22" s="19" t="s">
        <v>61</v>
      </c>
      <c r="U22" s="19" t="s">
        <v>61</v>
      </c>
      <c r="V22" s="19" t="s">
        <v>61</v>
      </c>
      <c r="W22" s="37" t="s">
        <v>61</v>
      </c>
      <c r="X22" s="19" t="s">
        <v>61</v>
      </c>
      <c r="Y22" s="19" t="s">
        <v>65</v>
      </c>
      <c r="Z22" s="20" t="s">
        <v>29</v>
      </c>
      <c r="AA22" s="38"/>
    </row>
    <row r="23" ht="70" spans="2:27">
      <c r="B23" s="12"/>
      <c r="C23" s="12"/>
      <c r="D23" s="13"/>
      <c r="E23" s="33"/>
      <c r="F23" s="15" t="s">
        <v>79</v>
      </c>
      <c r="G23" s="17">
        <f t="shared" si="0"/>
        <v>22</v>
      </c>
      <c r="H23" s="17">
        <f t="shared" si="1"/>
        <v>0</v>
      </c>
      <c r="I23" s="17">
        <v>4</v>
      </c>
      <c r="J23" s="26" t="s">
        <v>31</v>
      </c>
      <c r="K23" s="31" t="s">
        <v>80</v>
      </c>
      <c r="L23" s="19" t="s">
        <v>65</v>
      </c>
      <c r="M23" s="19" t="s">
        <v>65</v>
      </c>
      <c r="N23" s="19" t="s">
        <v>65</v>
      </c>
      <c r="O23" s="19" t="s">
        <v>65</v>
      </c>
      <c r="P23" s="19" t="s">
        <v>65</v>
      </c>
      <c r="Q23" s="37" t="s">
        <v>65</v>
      </c>
      <c r="R23" s="37" t="s">
        <v>65</v>
      </c>
      <c r="S23" s="19" t="s">
        <v>65</v>
      </c>
      <c r="T23" s="19" t="s">
        <v>65</v>
      </c>
      <c r="U23" s="19" t="s">
        <v>65</v>
      </c>
      <c r="V23" s="19" t="s">
        <v>65</v>
      </c>
      <c r="W23" s="37" t="s">
        <v>65</v>
      </c>
      <c r="X23" s="19" t="s">
        <v>65</v>
      </c>
      <c r="Y23" s="19" t="s">
        <v>66</v>
      </c>
      <c r="Z23" s="32" t="s">
        <v>67</v>
      </c>
      <c r="AA23" s="21"/>
    </row>
    <row r="24" ht="70" spans="2:27">
      <c r="B24" s="12"/>
      <c r="C24" s="12"/>
      <c r="D24" s="13"/>
      <c r="E24" s="33"/>
      <c r="F24" s="15" t="s">
        <v>81</v>
      </c>
      <c r="G24" s="17">
        <f t="shared" si="0"/>
        <v>22</v>
      </c>
      <c r="H24" s="17">
        <f t="shared" si="1"/>
        <v>4</v>
      </c>
      <c r="I24" s="17">
        <v>4</v>
      </c>
      <c r="J24" s="26" t="s">
        <v>31</v>
      </c>
      <c r="K24" s="31" t="s">
        <v>80</v>
      </c>
      <c r="L24" s="19" t="s">
        <v>65</v>
      </c>
      <c r="M24" s="19" t="s">
        <v>65</v>
      </c>
      <c r="N24" s="19" t="s">
        <v>65</v>
      </c>
      <c r="O24" s="19" t="s">
        <v>65</v>
      </c>
      <c r="P24" s="19" t="s">
        <v>65</v>
      </c>
      <c r="Q24" s="37" t="s">
        <v>65</v>
      </c>
      <c r="R24" s="37" t="s">
        <v>65</v>
      </c>
      <c r="S24" s="19" t="s">
        <v>65</v>
      </c>
      <c r="T24" s="19" t="s">
        <v>65</v>
      </c>
      <c r="U24" s="19" t="s">
        <v>65</v>
      </c>
      <c r="V24" s="19" t="s">
        <v>65</v>
      </c>
      <c r="W24" s="37" t="s">
        <v>65</v>
      </c>
      <c r="X24" s="19" t="s">
        <v>65</v>
      </c>
      <c r="Y24" s="19" t="s">
        <v>66</v>
      </c>
      <c r="Z24" s="32" t="s">
        <v>67</v>
      </c>
      <c r="AA24" s="21"/>
    </row>
    <row r="25" ht="70" spans="2:27">
      <c r="B25" s="12"/>
      <c r="C25" s="12"/>
      <c r="D25" s="13"/>
      <c r="E25" s="33"/>
      <c r="F25" s="15" t="s">
        <v>82</v>
      </c>
      <c r="G25" s="17">
        <f t="shared" si="0"/>
        <v>23</v>
      </c>
      <c r="H25" s="17">
        <f t="shared" si="1"/>
        <v>0</v>
      </c>
      <c r="I25" s="17">
        <v>4</v>
      </c>
      <c r="J25" s="26" t="s">
        <v>31</v>
      </c>
      <c r="K25" s="31" t="s">
        <v>80</v>
      </c>
      <c r="L25" s="19" t="s">
        <v>65</v>
      </c>
      <c r="M25" s="19" t="s">
        <v>65</v>
      </c>
      <c r="N25" s="19" t="s">
        <v>65</v>
      </c>
      <c r="O25" s="19" t="s">
        <v>65</v>
      </c>
      <c r="P25" s="19" t="s">
        <v>65</v>
      </c>
      <c r="Q25" s="37" t="s">
        <v>65</v>
      </c>
      <c r="R25" s="37" t="s">
        <v>65</v>
      </c>
      <c r="S25" s="19" t="s">
        <v>65</v>
      </c>
      <c r="T25" s="19" t="s">
        <v>65</v>
      </c>
      <c r="U25" s="19" t="s">
        <v>65</v>
      </c>
      <c r="V25" s="19" t="s">
        <v>65</v>
      </c>
      <c r="W25" s="37" t="s">
        <v>65</v>
      </c>
      <c r="X25" s="19" t="s">
        <v>65</v>
      </c>
      <c r="Y25" s="19" t="s">
        <v>65</v>
      </c>
      <c r="Z25" s="32" t="s">
        <v>67</v>
      </c>
      <c r="AA25" s="21"/>
    </row>
    <row r="26" ht="70" spans="2:27">
      <c r="B26" s="12"/>
      <c r="C26" s="12"/>
      <c r="D26" s="13"/>
      <c r="E26" s="33"/>
      <c r="F26" s="15" t="s">
        <v>83</v>
      </c>
      <c r="G26" s="17">
        <f t="shared" si="0"/>
        <v>23</v>
      </c>
      <c r="H26" s="17">
        <f t="shared" si="1"/>
        <v>4</v>
      </c>
      <c r="I26" s="17">
        <v>4</v>
      </c>
      <c r="J26" s="26" t="s">
        <v>31</v>
      </c>
      <c r="K26" s="31" t="s">
        <v>80</v>
      </c>
      <c r="L26" s="19" t="s">
        <v>61</v>
      </c>
      <c r="M26" s="19" t="s">
        <v>61</v>
      </c>
      <c r="N26" s="19" t="s">
        <v>61</v>
      </c>
      <c r="O26" s="19" t="s">
        <v>61</v>
      </c>
      <c r="P26" s="19" t="s">
        <v>61</v>
      </c>
      <c r="Q26" s="37" t="s">
        <v>61</v>
      </c>
      <c r="R26" s="37" t="s">
        <v>61</v>
      </c>
      <c r="S26" s="19" t="s">
        <v>61</v>
      </c>
      <c r="T26" s="19" t="s">
        <v>61</v>
      </c>
      <c r="U26" s="19" t="s">
        <v>61</v>
      </c>
      <c r="V26" s="19" t="s">
        <v>61</v>
      </c>
      <c r="W26" s="37" t="s">
        <v>61</v>
      </c>
      <c r="X26" s="19" t="s">
        <v>61</v>
      </c>
      <c r="Y26" s="19" t="s">
        <v>61</v>
      </c>
      <c r="Z26" s="20" t="s">
        <v>29</v>
      </c>
      <c r="AA26" s="21"/>
    </row>
    <row r="27" ht="70" spans="2:27">
      <c r="B27" s="12"/>
      <c r="C27" s="12"/>
      <c r="D27" s="13"/>
      <c r="E27" s="33"/>
      <c r="F27" s="15" t="s">
        <v>84</v>
      </c>
      <c r="G27" s="17">
        <f t="shared" si="0"/>
        <v>24</v>
      </c>
      <c r="H27" s="17">
        <f t="shared" si="1"/>
        <v>0</v>
      </c>
      <c r="I27" s="17">
        <v>4</v>
      </c>
      <c r="J27" s="26" t="s">
        <v>31</v>
      </c>
      <c r="K27" s="36" t="s">
        <v>80</v>
      </c>
      <c r="L27" s="19" t="s">
        <v>65</v>
      </c>
      <c r="M27" s="19" t="s">
        <v>65</v>
      </c>
      <c r="N27" s="19" t="s">
        <v>65</v>
      </c>
      <c r="O27" s="19" t="s">
        <v>65</v>
      </c>
      <c r="P27" s="19" t="s">
        <v>65</v>
      </c>
      <c r="Q27" s="37" t="s">
        <v>65</v>
      </c>
      <c r="R27" s="37" t="s">
        <v>65</v>
      </c>
      <c r="S27" s="19" t="s">
        <v>65</v>
      </c>
      <c r="T27" s="19" t="s">
        <v>65</v>
      </c>
      <c r="U27" s="19" t="s">
        <v>65</v>
      </c>
      <c r="V27" s="19" t="s">
        <v>65</v>
      </c>
      <c r="W27" s="37" t="s">
        <v>65</v>
      </c>
      <c r="X27" s="19" t="s">
        <v>65</v>
      </c>
      <c r="Y27" s="19" t="s">
        <v>65</v>
      </c>
      <c r="Z27" s="32" t="s">
        <v>67</v>
      </c>
      <c r="AA27" s="21"/>
    </row>
    <row r="28" ht="56" spans="2:27">
      <c r="B28" s="12"/>
      <c r="C28" s="12"/>
      <c r="D28" s="13"/>
      <c r="E28" s="33"/>
      <c r="F28" s="39" t="s">
        <v>85</v>
      </c>
      <c r="G28" s="17">
        <f t="shared" si="0"/>
        <v>24</v>
      </c>
      <c r="H28" s="17">
        <f t="shared" si="1"/>
        <v>4</v>
      </c>
      <c r="I28" s="17">
        <v>4</v>
      </c>
      <c r="J28" s="26" t="s">
        <v>31</v>
      </c>
      <c r="K28" s="31" t="s">
        <v>70</v>
      </c>
      <c r="L28" s="19" t="s">
        <v>65</v>
      </c>
      <c r="M28" s="37" t="s">
        <v>65</v>
      </c>
      <c r="N28" s="19" t="s">
        <v>65</v>
      </c>
      <c r="O28" s="19" t="s">
        <v>65</v>
      </c>
      <c r="P28" s="19" t="s">
        <v>65</v>
      </c>
      <c r="Q28" s="37" t="s">
        <v>65</v>
      </c>
      <c r="R28" s="37" t="s">
        <v>65</v>
      </c>
      <c r="S28" s="19" t="s">
        <v>65</v>
      </c>
      <c r="T28" s="37" t="s">
        <v>65</v>
      </c>
      <c r="U28" s="37" t="s">
        <v>65</v>
      </c>
      <c r="V28" s="37" t="s">
        <v>65</v>
      </c>
      <c r="W28" s="37" t="s">
        <v>65</v>
      </c>
      <c r="X28" s="37" t="s">
        <v>65</v>
      </c>
      <c r="Y28" s="37" t="s">
        <v>65</v>
      </c>
      <c r="Z28" s="20" t="s">
        <v>29</v>
      </c>
      <c r="AA28" s="38"/>
    </row>
    <row r="29" ht="56" spans="2:27">
      <c r="B29" s="12"/>
      <c r="C29" s="12"/>
      <c r="D29" s="13"/>
      <c r="E29" s="33"/>
      <c r="F29" s="39" t="s">
        <v>86</v>
      </c>
      <c r="G29" s="17">
        <f t="shared" si="0"/>
        <v>25</v>
      </c>
      <c r="H29" s="17">
        <f t="shared" si="1"/>
        <v>0</v>
      </c>
      <c r="I29" s="17">
        <v>4</v>
      </c>
      <c r="J29" s="26" t="s">
        <v>31</v>
      </c>
      <c r="K29" s="31" t="s">
        <v>70</v>
      </c>
      <c r="L29" s="31" t="s">
        <v>65</v>
      </c>
      <c r="M29" s="37" t="s">
        <v>65</v>
      </c>
      <c r="N29" s="19" t="s">
        <v>65</v>
      </c>
      <c r="O29" s="19" t="s">
        <v>65</v>
      </c>
      <c r="P29" s="19" t="s">
        <v>65</v>
      </c>
      <c r="Q29" s="37" t="s">
        <v>65</v>
      </c>
      <c r="R29" s="37" t="s">
        <v>65</v>
      </c>
      <c r="S29" s="19" t="s">
        <v>65</v>
      </c>
      <c r="T29" s="37" t="s">
        <v>65</v>
      </c>
      <c r="U29" s="37" t="s">
        <v>65</v>
      </c>
      <c r="V29" s="37" t="s">
        <v>65</v>
      </c>
      <c r="W29" s="37" t="s">
        <v>65</v>
      </c>
      <c r="X29" s="37" t="s">
        <v>65</v>
      </c>
      <c r="Y29" s="37" t="s">
        <v>65</v>
      </c>
      <c r="Z29" s="20" t="s">
        <v>29</v>
      </c>
      <c r="AA29" s="38"/>
    </row>
    <row r="30" ht="56" spans="2:27">
      <c r="B30" s="12"/>
      <c r="C30" s="12"/>
      <c r="D30" s="13"/>
      <c r="E30" s="33"/>
      <c r="F30" s="15" t="s">
        <v>87</v>
      </c>
      <c r="G30" s="17">
        <f t="shared" si="0"/>
        <v>25</v>
      </c>
      <c r="H30" s="17">
        <f t="shared" si="1"/>
        <v>4</v>
      </c>
      <c r="I30" s="17">
        <v>4</v>
      </c>
      <c r="J30" s="26" t="s">
        <v>31</v>
      </c>
      <c r="K30" s="31" t="s">
        <v>88</v>
      </c>
      <c r="L30" s="19" t="s">
        <v>60</v>
      </c>
      <c r="M30" s="19" t="s">
        <v>60</v>
      </c>
      <c r="N30" s="19" t="s">
        <v>60</v>
      </c>
      <c r="O30" s="19" t="s">
        <v>60</v>
      </c>
      <c r="P30" s="19" t="s">
        <v>60</v>
      </c>
      <c r="Q30" s="37" t="s">
        <v>60</v>
      </c>
      <c r="R30" s="37" t="s">
        <v>60</v>
      </c>
      <c r="S30" s="19" t="s">
        <v>60</v>
      </c>
      <c r="T30" s="19" t="s">
        <v>60</v>
      </c>
      <c r="U30" s="19" t="s">
        <v>60</v>
      </c>
      <c r="V30" s="19" t="s">
        <v>60</v>
      </c>
      <c r="W30" s="37" t="s">
        <v>60</v>
      </c>
      <c r="X30" s="19" t="s">
        <v>60</v>
      </c>
      <c r="Y30" s="19" t="s">
        <v>60</v>
      </c>
      <c r="Z30" s="32" t="s">
        <v>67</v>
      </c>
      <c r="AA30" s="21"/>
    </row>
    <row r="31" ht="56" spans="2:27">
      <c r="B31" s="12"/>
      <c r="C31" s="12"/>
      <c r="D31" s="13"/>
      <c r="E31" s="33"/>
      <c r="F31" s="15" t="s">
        <v>89</v>
      </c>
      <c r="G31" s="17">
        <f t="shared" si="0"/>
        <v>26</v>
      </c>
      <c r="H31" s="17">
        <f t="shared" si="1"/>
        <v>0</v>
      </c>
      <c r="I31" s="17">
        <v>4</v>
      </c>
      <c r="J31" s="26" t="s">
        <v>31</v>
      </c>
      <c r="K31" s="31" t="s">
        <v>88</v>
      </c>
      <c r="L31" s="31" t="s">
        <v>61</v>
      </c>
      <c r="M31" s="19" t="s">
        <v>61</v>
      </c>
      <c r="N31" s="19" t="s">
        <v>61</v>
      </c>
      <c r="O31" s="19" t="s">
        <v>61</v>
      </c>
      <c r="P31" s="19" t="s">
        <v>61</v>
      </c>
      <c r="Q31" s="37" t="s">
        <v>61</v>
      </c>
      <c r="R31" s="37" t="s">
        <v>61</v>
      </c>
      <c r="S31" s="19" t="s">
        <v>61</v>
      </c>
      <c r="T31" s="19" t="s">
        <v>61</v>
      </c>
      <c r="U31" s="19" t="s">
        <v>61</v>
      </c>
      <c r="V31" s="19" t="s">
        <v>61</v>
      </c>
      <c r="W31" s="37" t="s">
        <v>61</v>
      </c>
      <c r="X31" s="19" t="s">
        <v>61</v>
      </c>
      <c r="Y31" s="19" t="s">
        <v>61</v>
      </c>
      <c r="Z31" s="20" t="s">
        <v>29</v>
      </c>
      <c r="AA31" s="21"/>
    </row>
    <row r="32" ht="56" spans="2:27">
      <c r="B32" s="12"/>
      <c r="C32" s="12"/>
      <c r="D32" s="13"/>
      <c r="E32" s="33"/>
      <c r="F32" s="15" t="s">
        <v>90</v>
      </c>
      <c r="G32" s="17">
        <f t="shared" si="0"/>
        <v>26</v>
      </c>
      <c r="H32" s="17">
        <f t="shared" si="1"/>
        <v>4</v>
      </c>
      <c r="I32" s="17">
        <v>4</v>
      </c>
      <c r="J32" s="26" t="s">
        <v>31</v>
      </c>
      <c r="K32" s="31" t="s">
        <v>88</v>
      </c>
      <c r="L32" s="31" t="s">
        <v>61</v>
      </c>
      <c r="M32" s="19" t="s">
        <v>61</v>
      </c>
      <c r="N32" s="19" t="s">
        <v>61</v>
      </c>
      <c r="O32" s="19" t="s">
        <v>61</v>
      </c>
      <c r="P32" s="19" t="s">
        <v>61</v>
      </c>
      <c r="Q32" s="37" t="s">
        <v>61</v>
      </c>
      <c r="R32" s="37" t="s">
        <v>61</v>
      </c>
      <c r="S32" s="19" t="s">
        <v>61</v>
      </c>
      <c r="T32" s="19" t="s">
        <v>61</v>
      </c>
      <c r="U32" s="19" t="s">
        <v>61</v>
      </c>
      <c r="V32" s="19" t="s">
        <v>61</v>
      </c>
      <c r="W32" s="37" t="s">
        <v>61</v>
      </c>
      <c r="X32" s="19" t="s">
        <v>61</v>
      </c>
      <c r="Y32" s="19" t="s">
        <v>61</v>
      </c>
      <c r="Z32" s="32" t="s">
        <v>91</v>
      </c>
      <c r="AA32" s="40"/>
    </row>
    <row r="33" ht="56" spans="2:27">
      <c r="B33" s="12"/>
      <c r="C33" s="12"/>
      <c r="D33" s="13"/>
      <c r="E33" s="33"/>
      <c r="F33" s="15" t="s">
        <v>92</v>
      </c>
      <c r="G33" s="17">
        <f t="shared" si="0"/>
        <v>27</v>
      </c>
      <c r="H33" s="17">
        <f t="shared" si="1"/>
        <v>0</v>
      </c>
      <c r="I33" s="17">
        <v>4</v>
      </c>
      <c r="J33" s="26" t="s">
        <v>31</v>
      </c>
      <c r="K33" s="31" t="s">
        <v>88</v>
      </c>
      <c r="L33" s="31" t="s">
        <v>61</v>
      </c>
      <c r="M33" s="22" t="s">
        <v>60</v>
      </c>
      <c r="N33" s="22" t="s">
        <v>60</v>
      </c>
      <c r="O33" s="19" t="s">
        <v>61</v>
      </c>
      <c r="P33" s="22" t="s">
        <v>60</v>
      </c>
      <c r="Q33" s="41" t="s">
        <v>60</v>
      </c>
      <c r="R33" s="37" t="s">
        <v>61</v>
      </c>
      <c r="S33" s="19" t="s">
        <v>61</v>
      </c>
      <c r="T33" s="22" t="s">
        <v>60</v>
      </c>
      <c r="U33" s="19" t="s">
        <v>61</v>
      </c>
      <c r="V33" s="22" t="s">
        <v>60</v>
      </c>
      <c r="W33" s="37" t="s">
        <v>61</v>
      </c>
      <c r="X33" s="19" t="s">
        <v>61</v>
      </c>
      <c r="Y33" s="19" t="s">
        <v>61</v>
      </c>
      <c r="Z33" s="32" t="s">
        <v>91</v>
      </c>
      <c r="AA33" s="40" t="s">
        <v>93</v>
      </c>
    </row>
    <row r="34" ht="56" spans="2:27">
      <c r="B34" s="12"/>
      <c r="C34" s="12"/>
      <c r="D34" s="13"/>
      <c r="E34" s="33"/>
      <c r="F34" s="15" t="s">
        <v>94</v>
      </c>
      <c r="G34" s="17">
        <f t="shared" si="0"/>
        <v>27</v>
      </c>
      <c r="H34" s="17">
        <f t="shared" si="1"/>
        <v>4</v>
      </c>
      <c r="I34" s="17">
        <v>4</v>
      </c>
      <c r="J34" s="26" t="s">
        <v>31</v>
      </c>
      <c r="K34" s="31" t="s">
        <v>88</v>
      </c>
      <c r="L34" s="31" t="s">
        <v>60</v>
      </c>
      <c r="M34" s="19" t="s">
        <v>61</v>
      </c>
      <c r="N34" s="19" t="s">
        <v>60</v>
      </c>
      <c r="O34" s="19" t="s">
        <v>60</v>
      </c>
      <c r="P34" s="22" t="s">
        <v>60</v>
      </c>
      <c r="Q34" s="37" t="s">
        <v>60</v>
      </c>
      <c r="R34" s="37" t="s">
        <v>60</v>
      </c>
      <c r="S34" s="19" t="s">
        <v>60</v>
      </c>
      <c r="T34" s="19" t="s">
        <v>61</v>
      </c>
      <c r="U34" s="41" t="s">
        <v>60</v>
      </c>
      <c r="V34" s="19" t="s">
        <v>61</v>
      </c>
      <c r="W34" s="41" t="s">
        <v>60</v>
      </c>
      <c r="X34" s="41" t="s">
        <v>60</v>
      </c>
      <c r="Y34" s="19" t="s">
        <v>60</v>
      </c>
      <c r="Z34" s="32" t="s">
        <v>91</v>
      </c>
      <c r="AA34" s="40" t="s">
        <v>93</v>
      </c>
    </row>
    <row r="35" ht="57.6" customHeight="1" spans="2:27">
      <c r="B35" s="12"/>
      <c r="C35" s="12"/>
      <c r="D35" s="13"/>
      <c r="E35" s="33"/>
      <c r="F35" s="15" t="s">
        <v>95</v>
      </c>
      <c r="G35" s="17">
        <f t="shared" si="0"/>
        <v>28</v>
      </c>
      <c r="H35" s="17">
        <f t="shared" si="1"/>
        <v>0</v>
      </c>
      <c r="I35" s="17">
        <v>4</v>
      </c>
      <c r="J35" s="26" t="s">
        <v>31</v>
      </c>
      <c r="K35" s="31" t="s">
        <v>88</v>
      </c>
      <c r="L35" s="31" t="s">
        <v>60</v>
      </c>
      <c r="M35" s="19" t="s">
        <v>61</v>
      </c>
      <c r="N35" s="19" t="s">
        <v>60</v>
      </c>
      <c r="O35" s="19" t="s">
        <v>60</v>
      </c>
      <c r="P35" s="22" t="s">
        <v>60</v>
      </c>
      <c r="Q35" s="37" t="s">
        <v>60</v>
      </c>
      <c r="R35" s="37" t="s">
        <v>60</v>
      </c>
      <c r="S35" s="19" t="s">
        <v>60</v>
      </c>
      <c r="T35" s="19" t="s">
        <v>61</v>
      </c>
      <c r="U35" s="41" t="s">
        <v>60</v>
      </c>
      <c r="V35" s="19" t="s">
        <v>61</v>
      </c>
      <c r="W35" s="41" t="s">
        <v>60</v>
      </c>
      <c r="X35" s="41" t="s">
        <v>60</v>
      </c>
      <c r="Y35" s="19" t="s">
        <v>60</v>
      </c>
      <c r="Z35" s="32" t="s">
        <v>91</v>
      </c>
      <c r="AA35" s="40" t="s">
        <v>93</v>
      </c>
    </row>
    <row r="36" ht="56" spans="2:27">
      <c r="B36" s="12"/>
      <c r="C36" s="12"/>
      <c r="D36" s="13"/>
      <c r="E36" s="33"/>
      <c r="F36" s="15" t="s">
        <v>96</v>
      </c>
      <c r="G36" s="17">
        <f t="shared" si="0"/>
        <v>28</v>
      </c>
      <c r="H36" s="17">
        <f t="shared" si="1"/>
        <v>4</v>
      </c>
      <c r="I36" s="17">
        <v>4</v>
      </c>
      <c r="J36" s="26" t="s">
        <v>31</v>
      </c>
      <c r="K36" s="31" t="s">
        <v>88</v>
      </c>
      <c r="L36" s="31" t="s">
        <v>60</v>
      </c>
      <c r="M36" s="19" t="s">
        <v>61</v>
      </c>
      <c r="N36" s="19" t="s">
        <v>60</v>
      </c>
      <c r="O36" s="19" t="s">
        <v>60</v>
      </c>
      <c r="P36" s="22" t="s">
        <v>60</v>
      </c>
      <c r="Q36" s="37" t="s">
        <v>60</v>
      </c>
      <c r="R36" s="37" t="s">
        <v>60</v>
      </c>
      <c r="S36" s="19" t="s">
        <v>60</v>
      </c>
      <c r="T36" s="19" t="s">
        <v>61</v>
      </c>
      <c r="U36" s="41" t="s">
        <v>60</v>
      </c>
      <c r="V36" s="19" t="s">
        <v>61</v>
      </c>
      <c r="W36" s="41" t="s">
        <v>60</v>
      </c>
      <c r="X36" s="41" t="s">
        <v>60</v>
      </c>
      <c r="Y36" s="19" t="s">
        <v>60</v>
      </c>
      <c r="Z36" s="32" t="s">
        <v>91</v>
      </c>
      <c r="AA36" s="40" t="s">
        <v>93</v>
      </c>
    </row>
    <row r="37" ht="56" spans="2:27">
      <c r="B37" s="12"/>
      <c r="C37" s="12"/>
      <c r="D37" s="13"/>
      <c r="E37" s="33"/>
      <c r="F37" s="15" t="s">
        <v>97</v>
      </c>
      <c r="G37" s="17">
        <f t="shared" si="0"/>
        <v>29</v>
      </c>
      <c r="H37" s="17">
        <f t="shared" si="1"/>
        <v>0</v>
      </c>
      <c r="I37" s="17">
        <v>4</v>
      </c>
      <c r="J37" s="26" t="s">
        <v>31</v>
      </c>
      <c r="K37" s="31" t="s">
        <v>88</v>
      </c>
      <c r="L37" s="31" t="s">
        <v>61</v>
      </c>
      <c r="M37" s="19" t="s">
        <v>61</v>
      </c>
      <c r="N37" s="19" t="s">
        <v>61</v>
      </c>
      <c r="O37" s="19" t="s">
        <v>61</v>
      </c>
      <c r="P37" s="19" t="s">
        <v>61</v>
      </c>
      <c r="Q37" s="37" t="s">
        <v>61</v>
      </c>
      <c r="R37" s="37" t="s">
        <v>61</v>
      </c>
      <c r="S37" s="19" t="s">
        <v>61</v>
      </c>
      <c r="T37" s="19" t="s">
        <v>61</v>
      </c>
      <c r="U37" s="37" t="s">
        <v>61</v>
      </c>
      <c r="V37" s="19" t="s">
        <v>61</v>
      </c>
      <c r="W37" s="37" t="s">
        <v>61</v>
      </c>
      <c r="X37" s="37" t="s">
        <v>61</v>
      </c>
      <c r="Y37" s="19" t="s">
        <v>60</v>
      </c>
      <c r="Z37" s="32" t="s">
        <v>91</v>
      </c>
      <c r="AA37" s="21"/>
    </row>
    <row r="38" ht="56" spans="2:27">
      <c r="B38" s="12"/>
      <c r="C38" s="12"/>
      <c r="D38" s="13"/>
      <c r="E38" s="33"/>
      <c r="F38" s="15" t="s">
        <v>98</v>
      </c>
      <c r="G38" s="17">
        <f t="shared" si="0"/>
        <v>29</v>
      </c>
      <c r="H38" s="17">
        <f t="shared" si="1"/>
        <v>4</v>
      </c>
      <c r="I38" s="17">
        <v>4</v>
      </c>
      <c r="J38" s="26" t="s">
        <v>31</v>
      </c>
      <c r="K38" s="31" t="s">
        <v>88</v>
      </c>
      <c r="L38" s="31" t="s">
        <v>60</v>
      </c>
      <c r="M38" s="19" t="s">
        <v>61</v>
      </c>
      <c r="N38" s="19" t="s">
        <v>61</v>
      </c>
      <c r="O38" s="19" t="s">
        <v>60</v>
      </c>
      <c r="P38" s="19" t="s">
        <v>61</v>
      </c>
      <c r="Q38" s="37" t="s">
        <v>61</v>
      </c>
      <c r="R38" s="37" t="s">
        <v>60</v>
      </c>
      <c r="S38" s="19" t="s">
        <v>60</v>
      </c>
      <c r="T38" s="19" t="s">
        <v>61</v>
      </c>
      <c r="U38" s="19" t="s">
        <v>60</v>
      </c>
      <c r="V38" s="19" t="s">
        <v>61</v>
      </c>
      <c r="W38" s="37" t="s">
        <v>60</v>
      </c>
      <c r="X38" s="19" t="s">
        <v>60</v>
      </c>
      <c r="Y38" s="19" t="s">
        <v>60</v>
      </c>
      <c r="Z38" s="32" t="s">
        <v>29</v>
      </c>
      <c r="AA38" s="38"/>
    </row>
    <row r="39" ht="56" spans="2:27">
      <c r="B39" s="12"/>
      <c r="C39" s="12"/>
      <c r="D39" s="13"/>
      <c r="E39" s="33"/>
      <c r="F39" s="15" t="s">
        <v>99</v>
      </c>
      <c r="G39" s="17">
        <f t="shared" si="0"/>
        <v>30</v>
      </c>
      <c r="H39" s="17">
        <f t="shared" si="1"/>
        <v>0</v>
      </c>
      <c r="I39" s="17">
        <v>4</v>
      </c>
      <c r="J39" s="26" t="s">
        <v>31</v>
      </c>
      <c r="K39" s="31" t="s">
        <v>88</v>
      </c>
      <c r="L39" s="31" t="s">
        <v>61</v>
      </c>
      <c r="M39" s="19" t="s">
        <v>61</v>
      </c>
      <c r="N39" s="19" t="s">
        <v>61</v>
      </c>
      <c r="O39" s="19" t="s">
        <v>61</v>
      </c>
      <c r="P39" s="19" t="s">
        <v>61</v>
      </c>
      <c r="Q39" s="37" t="s">
        <v>61</v>
      </c>
      <c r="R39" s="37" t="s">
        <v>61</v>
      </c>
      <c r="S39" s="19" t="s">
        <v>61</v>
      </c>
      <c r="T39" s="19" t="s">
        <v>61</v>
      </c>
      <c r="U39" s="19" t="s">
        <v>61</v>
      </c>
      <c r="V39" s="19" t="s">
        <v>61</v>
      </c>
      <c r="W39" s="37" t="s">
        <v>61</v>
      </c>
      <c r="X39" s="19" t="s">
        <v>61</v>
      </c>
      <c r="Y39" s="19" t="s">
        <v>61</v>
      </c>
      <c r="Z39" s="20" t="s">
        <v>29</v>
      </c>
      <c r="AA39" s="21"/>
    </row>
    <row r="40" ht="56" spans="2:27">
      <c r="B40" s="12"/>
      <c r="C40" s="12"/>
      <c r="D40" s="13"/>
      <c r="E40" s="33"/>
      <c r="F40" s="15" t="s">
        <v>100</v>
      </c>
      <c r="G40" s="17">
        <f t="shared" si="0"/>
        <v>30</v>
      </c>
      <c r="H40" s="17">
        <f t="shared" si="1"/>
        <v>4</v>
      </c>
      <c r="I40" s="17">
        <v>4</v>
      </c>
      <c r="J40" s="26" t="s">
        <v>31</v>
      </c>
      <c r="K40" s="31" t="s">
        <v>88</v>
      </c>
      <c r="L40" s="31" t="s">
        <v>61</v>
      </c>
      <c r="M40" s="19" t="s">
        <v>61</v>
      </c>
      <c r="N40" s="19" t="s">
        <v>61</v>
      </c>
      <c r="O40" s="19" t="s">
        <v>61</v>
      </c>
      <c r="P40" s="19" t="s">
        <v>61</v>
      </c>
      <c r="Q40" s="37" t="s">
        <v>61</v>
      </c>
      <c r="R40" s="37" t="s">
        <v>61</v>
      </c>
      <c r="S40" s="19" t="s">
        <v>61</v>
      </c>
      <c r="T40" s="19" t="s">
        <v>61</v>
      </c>
      <c r="U40" s="19" t="s">
        <v>61</v>
      </c>
      <c r="V40" s="19" t="s">
        <v>61</v>
      </c>
      <c r="W40" s="37" t="s">
        <v>61</v>
      </c>
      <c r="X40" s="19" t="s">
        <v>61</v>
      </c>
      <c r="Y40" s="19" t="s">
        <v>61</v>
      </c>
      <c r="Z40" s="20" t="s">
        <v>29</v>
      </c>
      <c r="AA40" s="21"/>
    </row>
    <row r="41" ht="56" spans="2:27">
      <c r="B41" s="12"/>
      <c r="C41" s="12"/>
      <c r="D41" s="13"/>
      <c r="E41" s="33"/>
      <c r="F41" s="15" t="s">
        <v>101</v>
      </c>
      <c r="G41" s="17">
        <f t="shared" si="0"/>
        <v>31</v>
      </c>
      <c r="H41" s="17">
        <f t="shared" si="1"/>
        <v>0</v>
      </c>
      <c r="I41" s="17">
        <v>4</v>
      </c>
      <c r="J41" s="26" t="s">
        <v>31</v>
      </c>
      <c r="K41" s="31" t="s">
        <v>88</v>
      </c>
      <c r="L41" s="31" t="s">
        <v>61</v>
      </c>
      <c r="M41" s="19" t="s">
        <v>61</v>
      </c>
      <c r="N41" s="19" t="s">
        <v>61</v>
      </c>
      <c r="O41" s="19" t="s">
        <v>61</v>
      </c>
      <c r="P41" s="19" t="s">
        <v>61</v>
      </c>
      <c r="Q41" s="37" t="s">
        <v>61</v>
      </c>
      <c r="R41" s="37" t="s">
        <v>61</v>
      </c>
      <c r="S41" s="19" t="s">
        <v>61</v>
      </c>
      <c r="T41" s="19" t="s">
        <v>61</v>
      </c>
      <c r="U41" s="19" t="s">
        <v>61</v>
      </c>
      <c r="V41" s="19" t="s">
        <v>61</v>
      </c>
      <c r="W41" s="37" t="s">
        <v>61</v>
      </c>
      <c r="X41" s="19" t="s">
        <v>61</v>
      </c>
      <c r="Y41" s="19" t="s">
        <v>61</v>
      </c>
      <c r="Z41" s="20" t="s">
        <v>29</v>
      </c>
      <c r="AA41" s="21"/>
    </row>
    <row r="42" ht="56" spans="2:27">
      <c r="B42" s="12"/>
      <c r="C42" s="12"/>
      <c r="D42" s="13"/>
      <c r="E42" s="33"/>
      <c r="F42" s="15" t="s">
        <v>102</v>
      </c>
      <c r="G42" s="17">
        <f t="shared" si="0"/>
        <v>31</v>
      </c>
      <c r="H42" s="17">
        <f t="shared" si="1"/>
        <v>4</v>
      </c>
      <c r="I42" s="17">
        <v>4</v>
      </c>
      <c r="J42" s="26" t="s">
        <v>31</v>
      </c>
      <c r="K42" s="31" t="s">
        <v>88</v>
      </c>
      <c r="L42" s="19" t="s">
        <v>60</v>
      </c>
      <c r="M42" s="19" t="s">
        <v>60</v>
      </c>
      <c r="N42" s="19" t="s">
        <v>60</v>
      </c>
      <c r="O42" s="19" t="s">
        <v>60</v>
      </c>
      <c r="P42" s="19" t="s">
        <v>60</v>
      </c>
      <c r="Q42" s="37" t="s">
        <v>60</v>
      </c>
      <c r="R42" s="37" t="s">
        <v>60</v>
      </c>
      <c r="S42" s="19" t="s">
        <v>60</v>
      </c>
      <c r="T42" s="19" t="s">
        <v>60</v>
      </c>
      <c r="U42" s="19" t="s">
        <v>60</v>
      </c>
      <c r="V42" s="19" t="s">
        <v>60</v>
      </c>
      <c r="W42" s="37" t="s">
        <v>60</v>
      </c>
      <c r="X42" s="19" t="s">
        <v>60</v>
      </c>
      <c r="Y42" s="19" t="s">
        <v>60</v>
      </c>
      <c r="Z42" s="32" t="s">
        <v>91</v>
      </c>
      <c r="AA42" s="21" t="s">
        <v>103</v>
      </c>
    </row>
    <row r="43" ht="56" spans="2:27">
      <c r="B43" s="12"/>
      <c r="C43" s="12"/>
      <c r="D43" s="13"/>
      <c r="E43" s="33"/>
      <c r="F43" s="15" t="s">
        <v>104</v>
      </c>
      <c r="G43" s="17">
        <f t="shared" si="0"/>
        <v>32</v>
      </c>
      <c r="H43" s="17">
        <f t="shared" si="1"/>
        <v>0</v>
      </c>
      <c r="I43" s="17">
        <v>4</v>
      </c>
      <c r="J43" s="26" t="s">
        <v>31</v>
      </c>
      <c r="K43" s="31" t="s">
        <v>88</v>
      </c>
      <c r="L43" s="31" t="s">
        <v>60</v>
      </c>
      <c r="M43" s="19" t="s">
        <v>60</v>
      </c>
      <c r="N43" s="19" t="s">
        <v>60</v>
      </c>
      <c r="O43" s="19" t="s">
        <v>60</v>
      </c>
      <c r="P43" s="19" t="s">
        <v>60</v>
      </c>
      <c r="Q43" s="37" t="s">
        <v>60</v>
      </c>
      <c r="R43" s="37" t="s">
        <v>60</v>
      </c>
      <c r="S43" s="19" t="s">
        <v>60</v>
      </c>
      <c r="T43" s="19" t="s">
        <v>60</v>
      </c>
      <c r="U43" s="19" t="s">
        <v>60</v>
      </c>
      <c r="V43" s="19" t="s">
        <v>60</v>
      </c>
      <c r="W43" s="37" t="s">
        <v>60</v>
      </c>
      <c r="X43" s="19" t="s">
        <v>60</v>
      </c>
      <c r="Y43" s="19" t="s">
        <v>60</v>
      </c>
      <c r="Z43" s="32" t="s">
        <v>91</v>
      </c>
      <c r="AA43" s="21" t="s">
        <v>103</v>
      </c>
    </row>
    <row r="44" ht="56" spans="2:27">
      <c r="B44" s="12"/>
      <c r="C44" s="12"/>
      <c r="D44" s="13"/>
      <c r="E44" s="33"/>
      <c r="F44" s="15" t="s">
        <v>105</v>
      </c>
      <c r="G44" s="17">
        <f t="shared" si="0"/>
        <v>32</v>
      </c>
      <c r="H44" s="17">
        <f t="shared" si="1"/>
        <v>4</v>
      </c>
      <c r="I44" s="17">
        <v>4</v>
      </c>
      <c r="J44" s="26" t="s">
        <v>31</v>
      </c>
      <c r="K44" s="31" t="s">
        <v>88</v>
      </c>
      <c r="L44" s="19" t="s">
        <v>60</v>
      </c>
      <c r="M44" s="19" t="s">
        <v>60</v>
      </c>
      <c r="N44" s="19" t="s">
        <v>60</v>
      </c>
      <c r="O44" s="19" t="s">
        <v>60</v>
      </c>
      <c r="P44" s="19" t="s">
        <v>60</v>
      </c>
      <c r="Q44" s="37" t="s">
        <v>60</v>
      </c>
      <c r="R44" s="37" t="s">
        <v>60</v>
      </c>
      <c r="S44" s="19" t="s">
        <v>60</v>
      </c>
      <c r="T44" s="19" t="s">
        <v>60</v>
      </c>
      <c r="U44" s="19" t="s">
        <v>60</v>
      </c>
      <c r="V44" s="19" t="s">
        <v>60</v>
      </c>
      <c r="W44" s="37" t="s">
        <v>60</v>
      </c>
      <c r="X44" s="19" t="s">
        <v>60</v>
      </c>
      <c r="Y44" s="19" t="s">
        <v>60</v>
      </c>
      <c r="Z44" s="32" t="s">
        <v>91</v>
      </c>
      <c r="AA44" s="21" t="s">
        <v>103</v>
      </c>
    </row>
    <row r="45" ht="56" spans="2:27">
      <c r="B45" s="12"/>
      <c r="C45" s="12"/>
      <c r="D45" s="13"/>
      <c r="E45" s="33"/>
      <c r="F45" s="15" t="s">
        <v>106</v>
      </c>
      <c r="G45" s="17">
        <f t="shared" si="0"/>
        <v>33</v>
      </c>
      <c r="H45" s="17">
        <f t="shared" si="1"/>
        <v>0</v>
      </c>
      <c r="I45" s="17">
        <v>4</v>
      </c>
      <c r="J45" s="26" t="s">
        <v>31</v>
      </c>
      <c r="K45" s="31" t="s">
        <v>88</v>
      </c>
      <c r="L45" s="19" t="s">
        <v>60</v>
      </c>
      <c r="M45" s="19" t="s">
        <v>60</v>
      </c>
      <c r="N45" s="19" t="s">
        <v>60</v>
      </c>
      <c r="O45" s="19" t="s">
        <v>60</v>
      </c>
      <c r="P45" s="19" t="s">
        <v>60</v>
      </c>
      <c r="Q45" s="37" t="s">
        <v>60</v>
      </c>
      <c r="R45" s="37" t="s">
        <v>60</v>
      </c>
      <c r="S45" s="19" t="s">
        <v>60</v>
      </c>
      <c r="T45" s="19" t="s">
        <v>60</v>
      </c>
      <c r="U45" s="19" t="s">
        <v>60</v>
      </c>
      <c r="V45" s="19" t="s">
        <v>60</v>
      </c>
      <c r="W45" s="37" t="s">
        <v>60</v>
      </c>
      <c r="X45" s="19" t="s">
        <v>60</v>
      </c>
      <c r="Y45" s="19" t="s">
        <v>60</v>
      </c>
      <c r="Z45" s="32" t="s">
        <v>91</v>
      </c>
      <c r="AA45" s="21" t="s">
        <v>103</v>
      </c>
    </row>
    <row r="46" ht="56" spans="2:27">
      <c r="B46" s="12"/>
      <c r="C46" s="12"/>
      <c r="D46" s="13"/>
      <c r="E46" s="33"/>
      <c r="F46" s="15" t="s">
        <v>107</v>
      </c>
      <c r="G46" s="17">
        <f t="shared" si="0"/>
        <v>33</v>
      </c>
      <c r="H46" s="17">
        <f t="shared" si="1"/>
        <v>4</v>
      </c>
      <c r="I46" s="17">
        <v>4</v>
      </c>
      <c r="J46" s="26" t="s">
        <v>31</v>
      </c>
      <c r="K46" s="31" t="s">
        <v>88</v>
      </c>
      <c r="L46" s="19" t="s">
        <v>60</v>
      </c>
      <c r="M46" s="19" t="s">
        <v>60</v>
      </c>
      <c r="N46" s="19" t="s">
        <v>60</v>
      </c>
      <c r="O46" s="19" t="s">
        <v>60</v>
      </c>
      <c r="P46" s="19" t="s">
        <v>60</v>
      </c>
      <c r="Q46" s="37" t="s">
        <v>60</v>
      </c>
      <c r="R46" s="37" t="s">
        <v>60</v>
      </c>
      <c r="S46" s="19" t="s">
        <v>60</v>
      </c>
      <c r="T46" s="19" t="s">
        <v>60</v>
      </c>
      <c r="U46" s="19" t="s">
        <v>60</v>
      </c>
      <c r="V46" s="19" t="s">
        <v>60</v>
      </c>
      <c r="W46" s="37" t="s">
        <v>60</v>
      </c>
      <c r="X46" s="19" t="s">
        <v>60</v>
      </c>
      <c r="Y46" s="19" t="s">
        <v>60</v>
      </c>
      <c r="Z46" s="32" t="s">
        <v>91</v>
      </c>
      <c r="AA46" s="21" t="s">
        <v>103</v>
      </c>
    </row>
    <row r="47" ht="56" spans="2:27">
      <c r="B47" s="12"/>
      <c r="C47" s="12"/>
      <c r="D47" s="13"/>
      <c r="E47" s="33"/>
      <c r="F47" s="42" t="s">
        <v>108</v>
      </c>
      <c r="G47" s="17">
        <f t="shared" si="0"/>
        <v>34</v>
      </c>
      <c r="H47" s="17">
        <f t="shared" si="1"/>
        <v>0</v>
      </c>
      <c r="I47" s="16">
        <v>4</v>
      </c>
      <c r="J47" s="35" t="s">
        <v>31</v>
      </c>
      <c r="K47" s="36" t="s">
        <v>88</v>
      </c>
      <c r="L47" s="36" t="s">
        <v>61</v>
      </c>
      <c r="M47" s="43" t="s">
        <v>109</v>
      </c>
      <c r="N47" s="43" t="s">
        <v>109</v>
      </c>
      <c r="O47" s="43" t="s">
        <v>109</v>
      </c>
      <c r="P47" s="43" t="s">
        <v>109</v>
      </c>
      <c r="Q47" s="43" t="s">
        <v>109</v>
      </c>
      <c r="R47" s="43" t="s">
        <v>109</v>
      </c>
      <c r="S47" s="43" t="s">
        <v>109</v>
      </c>
      <c r="T47" s="43" t="s">
        <v>109</v>
      </c>
      <c r="U47" s="43" t="s">
        <v>109</v>
      </c>
      <c r="V47" s="43" t="s">
        <v>109</v>
      </c>
      <c r="W47" s="43" t="s">
        <v>109</v>
      </c>
      <c r="X47" s="43" t="s">
        <v>109</v>
      </c>
      <c r="Y47" s="43" t="s">
        <v>109</v>
      </c>
      <c r="Z47" s="32"/>
      <c r="AA47" s="38"/>
    </row>
    <row r="48" ht="56" spans="2:27">
      <c r="B48" s="12"/>
      <c r="C48" s="12"/>
      <c r="D48" s="13"/>
      <c r="E48" s="33"/>
      <c r="F48" s="22" t="s">
        <v>110</v>
      </c>
      <c r="G48" s="17">
        <f t="shared" si="0"/>
        <v>34</v>
      </c>
      <c r="H48" s="17">
        <f t="shared" si="1"/>
        <v>4</v>
      </c>
      <c r="I48" s="17">
        <v>4</v>
      </c>
      <c r="J48" s="26" t="s">
        <v>31</v>
      </c>
      <c r="K48" s="31" t="s">
        <v>88</v>
      </c>
      <c r="L48" s="19" t="s">
        <v>111</v>
      </c>
      <c r="M48" s="19" t="s">
        <v>111</v>
      </c>
      <c r="N48" s="22" t="s">
        <v>111</v>
      </c>
      <c r="O48" s="22" t="s">
        <v>111</v>
      </c>
      <c r="P48" s="19" t="s">
        <v>111</v>
      </c>
      <c r="Q48" s="41" t="s">
        <v>111</v>
      </c>
      <c r="R48" s="41" t="s">
        <v>111</v>
      </c>
      <c r="S48" s="22" t="s">
        <v>111</v>
      </c>
      <c r="T48" s="19" t="s">
        <v>111</v>
      </c>
      <c r="U48" s="19" t="s">
        <v>60</v>
      </c>
      <c r="V48" s="19" t="s">
        <v>111</v>
      </c>
      <c r="W48" s="37" t="s">
        <v>60</v>
      </c>
      <c r="X48" s="19" t="s">
        <v>60</v>
      </c>
      <c r="Y48" s="19" t="s">
        <v>60</v>
      </c>
      <c r="Z48" s="32" t="s">
        <v>112</v>
      </c>
      <c r="AA48" s="38"/>
    </row>
    <row r="49" ht="98" spans="2:27">
      <c r="B49" s="12"/>
      <c r="C49" s="12"/>
      <c r="D49" s="13"/>
      <c r="E49" s="33"/>
      <c r="F49" s="15" t="s">
        <v>113</v>
      </c>
      <c r="G49" s="17">
        <f t="shared" si="0"/>
        <v>35</v>
      </c>
      <c r="H49" s="17">
        <f t="shared" si="1"/>
        <v>0</v>
      </c>
      <c r="I49" s="17">
        <v>4</v>
      </c>
      <c r="J49" s="26" t="s">
        <v>31</v>
      </c>
      <c r="K49" s="31" t="s">
        <v>114</v>
      </c>
      <c r="L49" s="19" t="s">
        <v>111</v>
      </c>
      <c r="M49" s="19" t="s">
        <v>111</v>
      </c>
      <c r="N49" s="19" t="s">
        <v>111</v>
      </c>
      <c r="O49" s="19" t="s">
        <v>111</v>
      </c>
      <c r="P49" s="19" t="s">
        <v>111</v>
      </c>
      <c r="Q49" s="37" t="s">
        <v>111</v>
      </c>
      <c r="R49" s="37" t="s">
        <v>111</v>
      </c>
      <c r="S49" s="19" t="s">
        <v>111</v>
      </c>
      <c r="T49" s="19" t="s">
        <v>111</v>
      </c>
      <c r="U49" s="19" t="s">
        <v>111</v>
      </c>
      <c r="V49" s="19" t="s">
        <v>111</v>
      </c>
      <c r="W49" s="37" t="s">
        <v>111</v>
      </c>
      <c r="X49" s="19" t="s">
        <v>111</v>
      </c>
      <c r="Y49" s="19" t="s">
        <v>111</v>
      </c>
      <c r="Z49" s="32" t="s">
        <v>112</v>
      </c>
      <c r="AA49" s="38"/>
    </row>
    <row r="50" ht="210.6" customHeight="1" spans="2:27">
      <c r="B50" s="12"/>
      <c r="C50" s="12"/>
      <c r="D50" s="13"/>
      <c r="E50" s="33"/>
      <c r="F50" s="41" t="s">
        <v>115</v>
      </c>
      <c r="G50" s="17">
        <f t="shared" si="0"/>
        <v>35</v>
      </c>
      <c r="H50" s="17">
        <f t="shared" si="1"/>
        <v>4</v>
      </c>
      <c r="I50" s="17">
        <v>4</v>
      </c>
      <c r="J50" s="26" t="s">
        <v>31</v>
      </c>
      <c r="K50" s="31" t="s">
        <v>116</v>
      </c>
      <c r="L50" s="31" t="s">
        <v>117</v>
      </c>
      <c r="M50" s="19" t="s">
        <v>118</v>
      </c>
      <c r="N50" s="19" t="s">
        <v>118</v>
      </c>
      <c r="O50" s="19" t="s">
        <v>119</v>
      </c>
      <c r="P50" s="19" t="s">
        <v>118</v>
      </c>
      <c r="Q50" s="37" t="s">
        <v>118</v>
      </c>
      <c r="R50" s="37" t="s">
        <v>119</v>
      </c>
      <c r="S50" s="19" t="s">
        <v>119</v>
      </c>
      <c r="T50" s="19" t="s">
        <v>118</v>
      </c>
      <c r="U50" s="19" t="s">
        <v>119</v>
      </c>
      <c r="V50" s="19" t="s">
        <v>118</v>
      </c>
      <c r="W50" s="37" t="s">
        <v>119</v>
      </c>
      <c r="X50" s="19" t="s">
        <v>119</v>
      </c>
      <c r="Y50" s="19" t="s">
        <v>119</v>
      </c>
      <c r="Z50" s="32" t="s">
        <v>112</v>
      </c>
      <c r="AA50" s="44"/>
    </row>
    <row r="51" ht="56" spans="2:27">
      <c r="B51" s="12"/>
      <c r="C51" s="12"/>
      <c r="D51" s="13"/>
      <c r="E51" s="33"/>
      <c r="F51" s="45" t="s">
        <v>120</v>
      </c>
      <c r="G51" s="17">
        <f t="shared" si="0"/>
        <v>36</v>
      </c>
      <c r="H51" s="17">
        <f t="shared" si="1"/>
        <v>0</v>
      </c>
      <c r="I51" s="46">
        <v>4</v>
      </c>
      <c r="J51" s="47" t="s">
        <v>31</v>
      </c>
      <c r="K51" s="48" t="s">
        <v>88</v>
      </c>
      <c r="L51" s="19" t="s">
        <v>111</v>
      </c>
      <c r="M51" s="19" t="s">
        <v>111</v>
      </c>
      <c r="N51" s="19" t="s">
        <v>111</v>
      </c>
      <c r="O51" s="19" t="s">
        <v>111</v>
      </c>
      <c r="P51" s="19" t="s">
        <v>111</v>
      </c>
      <c r="Q51" s="37" t="s">
        <v>111</v>
      </c>
      <c r="R51" s="37" t="s">
        <v>111</v>
      </c>
      <c r="S51" s="19" t="s">
        <v>111</v>
      </c>
      <c r="T51" s="19" t="s">
        <v>111</v>
      </c>
      <c r="U51" s="19" t="s">
        <v>111</v>
      </c>
      <c r="V51" s="19" t="s">
        <v>111</v>
      </c>
      <c r="W51" s="37" t="s">
        <v>111</v>
      </c>
      <c r="X51" s="19" t="s">
        <v>111</v>
      </c>
      <c r="Y51" s="19" t="s">
        <v>111</v>
      </c>
      <c r="Z51" s="20" t="s">
        <v>29</v>
      </c>
      <c r="AA51" s="21"/>
    </row>
    <row r="52" spans="2:27">
      <c r="B52" s="49"/>
      <c r="C52" s="49"/>
      <c r="D52" s="50"/>
      <c r="E52" s="33"/>
      <c r="F52" s="51" t="s">
        <v>109</v>
      </c>
      <c r="G52" s="52" t="s">
        <v>121</v>
      </c>
      <c r="H52" s="53">
        <f t="shared" ref="H52" si="2">MOD(H50+I50,8)</f>
        <v>0</v>
      </c>
      <c r="I52" s="54" t="s">
        <v>122</v>
      </c>
      <c r="J52" s="51" t="s">
        <v>109</v>
      </c>
      <c r="K52" s="51" t="s">
        <v>109</v>
      </c>
      <c r="L52" s="55"/>
      <c r="M52" s="55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7"/>
      <c r="AA52" s="57"/>
    </row>
    <row r="53" ht="42" spans="2:27">
      <c r="B53" s="12"/>
      <c r="C53" s="12"/>
      <c r="D53" s="13"/>
      <c r="E53" s="33"/>
      <c r="F53" s="15" t="s">
        <v>123</v>
      </c>
      <c r="G53" s="17">
        <v>48</v>
      </c>
      <c r="H53" s="17">
        <v>0</v>
      </c>
      <c r="I53" s="17">
        <v>8</v>
      </c>
      <c r="J53" s="17"/>
      <c r="K53" s="41" t="s">
        <v>124</v>
      </c>
      <c r="L53" s="22"/>
      <c r="M53" s="22"/>
      <c r="N53" s="38" t="s">
        <v>125</v>
      </c>
      <c r="O53" s="38" t="s">
        <v>125</v>
      </c>
      <c r="P53" s="38" t="s">
        <v>125</v>
      </c>
      <c r="Q53" s="38" t="s">
        <v>125</v>
      </c>
      <c r="R53" s="38" t="s">
        <v>125</v>
      </c>
      <c r="S53" s="38" t="s">
        <v>125</v>
      </c>
      <c r="T53" s="38" t="s">
        <v>125</v>
      </c>
      <c r="U53" s="38" t="s">
        <v>125</v>
      </c>
      <c r="V53" s="38" t="s">
        <v>125</v>
      </c>
      <c r="W53" s="38" t="s">
        <v>125</v>
      </c>
      <c r="X53" s="38" t="s">
        <v>125</v>
      </c>
      <c r="Y53" s="38" t="s">
        <v>125</v>
      </c>
      <c r="Z53" s="21"/>
      <c r="AA53" s="38"/>
    </row>
    <row r="54" spans="2:27">
      <c r="K54" s="58" t="s">
        <v>126</v>
      </c>
      <c r="L54" s="59"/>
      <c r="M54" s="59"/>
      <c r="N54" s="58">
        <v>7</v>
      </c>
      <c r="O54" s="58">
        <v>7</v>
      </c>
      <c r="P54" s="58">
        <v>6</v>
      </c>
      <c r="Q54" s="58">
        <v>7</v>
      </c>
      <c r="R54" s="58">
        <v>7</v>
      </c>
      <c r="S54" s="58">
        <v>7</v>
      </c>
      <c r="T54" s="60">
        <v>2</v>
      </c>
      <c r="U54" s="58">
        <v>7</v>
      </c>
      <c r="V54" s="60">
        <v>2</v>
      </c>
      <c r="W54" s="58">
        <v>7</v>
      </c>
      <c r="X54" s="58">
        <v>7</v>
      </c>
      <c r="Y54" s="58">
        <v>8</v>
      </c>
    </row>
    <row r="55" spans="2:27">
      <c r="K55" s="58" t="s">
        <v>127</v>
      </c>
      <c r="L55" s="59"/>
      <c r="M55" s="59"/>
      <c r="N55" s="58">
        <v>14</v>
      </c>
      <c r="O55" s="58">
        <v>14</v>
      </c>
      <c r="P55" s="58">
        <v>13</v>
      </c>
      <c r="Q55" s="58">
        <v>14</v>
      </c>
      <c r="R55" s="58">
        <v>14</v>
      </c>
      <c r="S55" s="58">
        <v>14</v>
      </c>
      <c r="T55" s="58">
        <v>9</v>
      </c>
      <c r="U55" s="58">
        <v>14</v>
      </c>
      <c r="V55" s="58">
        <v>9</v>
      </c>
      <c r="W55" s="58">
        <v>14</v>
      </c>
      <c r="X55" s="58">
        <v>14</v>
      </c>
      <c r="Y55" s="58">
        <v>20</v>
      </c>
    </row>
    <row r="56" spans="2:27"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2:27"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2:27"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</sheetData>
  <mergeCells count="2">
    <mergeCell ref="N2:S2"/>
    <mergeCell ref="V2:Y2"/>
  </mergeCells>
  <conditionalFormatting sqref="F8">
    <cfRule type="duplicateValues" dxfId="0" priority="14"/>
  </conditionalFormatting>
  <conditionalFormatting sqref="F9">
    <cfRule type="duplicateValues" dxfId="0" priority="7"/>
  </conditionalFormatting>
  <conditionalFormatting sqref="F10">
    <cfRule type="duplicateValues" dxfId="0" priority="2"/>
  </conditionalFormatting>
  <conditionalFormatting sqref="F11">
    <cfRule type="duplicateValues" dxfId="0" priority="1"/>
  </conditionalFormatting>
  <conditionalFormatting sqref="F42">
    <cfRule type="duplicateValues" dxfId="0" priority="3"/>
  </conditionalFormatting>
  <conditionalFormatting sqref="F4:F5">
    <cfRule type="duplicateValues" dxfId="0" priority="21"/>
  </conditionalFormatting>
  <conditionalFormatting sqref="F4:F7">
    <cfRule type="duplicateValues" dxfId="0" priority="26"/>
  </conditionalFormatting>
  <conditionalFormatting sqref="F6:F7">
    <cfRule type="duplicateValues" dxfId="0" priority="24"/>
  </conditionalFormatting>
  <conditionalFormatting sqref="F12:F42 F4:F9">
    <cfRule type="duplicateValues" dxfId="0" priority="30"/>
  </conditionalFormatting>
  <conditionalFormatting sqref="F42 F4:F7">
    <cfRule type="duplicateValues" dxfId="0" priority="27"/>
  </conditionalFormatting>
  <conditionalFormatting sqref="F42 F4:F8">
    <cfRule type="duplicateValues" dxfId="0" priority="28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VF6NP_Coding CDS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Minh Huấn (VF-KPTX-ĐĐTVF8)</dc:creator>
  <cp:lastModifiedBy>氼緂</cp:lastModifiedBy>
  <dcterms:created xsi:type="dcterms:W3CDTF">2025-04-12T04:38:00Z</dcterms:created>
  <dcterms:modified xsi:type="dcterms:W3CDTF">2026-03-23T10:37:10Z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BCCEB76024504201AF09A7F52B83DCB4_13</vt:lpwstr>
  </property>
  <property fmtid="{D5CDD505-2E9C-101B-9397-08002B2CF9AE}" pid="4" name="CalculationRule">
    <vt:i4>0</vt:i4>
  </property>
</Properties>
</file>